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erence" sheetId="1" state="visible" r:id="rId3"/>
    <sheet name="Embeddings" sheetId="2" state="visible" r:id="rId4"/>
    <sheet name="Cost Savings" sheetId="3" state="visible" r:id="rId5"/>
    <sheet name="Full Pipeline (added)" sheetId="4" state="visible" r:id="rId6"/>
    <sheet name="Value &amp; Decisions (added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Dataset average: 134 words per email, 99 per note, x 1.3 tokens/word = ~175 tokens. Rounded up to 250 for longer real threads.</t>
        </r>
      </text>
    </comment>
    <comment ref="C7" authorId="0">
      <text>
        <r>
          <rPr>
            <sz val="10"/>
            <rFont val="Arial"/>
            <family val="2"/>
          </rPr>
          <t xml:space="preserve">Extraction rules, output JSON schema, guardrails (quote-or-drop, no instructions from emails).</t>
        </r>
      </text>
    </comment>
    <comment ref="C8" authorId="0">
      <text>
        <r>
          <rPr>
            <sz val="10"/>
            <rFont val="Arial"/>
            <family val="2"/>
          </rPr>
          <t xml:space="preserve">AtliQ names, roles and @atliq.com addresses plus 2 worked examples, so the model can tell AtliQ's promises from the client's.</t>
        </r>
      </text>
    </comment>
    <comment ref="C9" authorId="0">
      <text>
        <r>
          <rPr>
            <sz val="10"/>
            <rFont val="Arial"/>
            <family val="2"/>
          </rPr>
          <t xml:space="preserve">Dataset: ~140 characters per CRM row; up to 2 rows when duplicated.</t>
        </r>
      </text>
    </comment>
    <comment ref="C10" authorId="0">
      <text>
        <r>
          <rPr>
            <sz val="10"/>
            <rFont val="Arial"/>
            <family val="2"/>
          </rPr>
          <t xml:space="preserve">Last 3 open items for the account, so the model can tell a new promise from one already tracked.</t>
        </r>
      </text>
    </comment>
    <comment ref="C12" authorId="0">
      <text>
        <r>
          <rPr>
            <sz val="10"/>
            <rFont val="Arial"/>
            <family val="2"/>
          </rPr>
          <t xml:space="preserve">JSON list of items, each with type, parties, what, date phrase and a verbatim quote.</t>
        </r>
      </text>
    </comment>
    <comment ref="C14" authorId="0">
      <text>
        <r>
          <rPr>
            <sz val="10"/>
            <rFont val="Arial"/>
            <family val="2"/>
          </rPr>
          <t xml:space="preserve">Extraction calls per working day = ~96 sales emails + ~8 meeting notes across 4 sellers. Derived on the 'Full Pipeline (added)' tab.</t>
        </r>
      </text>
    </comment>
    <comment ref="C15" authorId="0">
      <text>
        <r>
          <rPr>
            <sz val="10"/>
            <rFont val="Arial"/>
            <family val="2"/>
          </rPr>
          <t xml:space="preserve">Working days per month (sales email volume is a weekday pattern).</t>
        </r>
      </text>
    </comment>
    <comment ref="E6" authorId="0">
      <text>
        <r>
          <rPr>
            <sz val="10"/>
            <rFont val="Arial"/>
            <family val="2"/>
          </rPr>
          <t xml:space="preserve">Prices: Claude API list prices, USD per 1M tokens, platform.claude.com/docs/en/about-claude/pricing (checked 11 Oct 2026).</t>
        </r>
      </text>
    </comment>
    <comment ref="E7" authorId="0">
      <text>
        <r>
          <rPr>
            <sz val="10"/>
            <rFont val="Arial"/>
            <family val="2"/>
          </rPr>
          <t xml:space="preserve">CHOSEN for the extraction step: reliable instruction-following and verbatim quoting at half Opus's price.</t>
        </r>
      </text>
    </comment>
    <comment ref="E8" authorId="0">
      <text>
        <r>
          <rPr>
            <sz val="10"/>
            <rFont val="Arial"/>
            <family val="2"/>
          </rPr>
          <t xml:space="preserve">CHOSEN for the relevance filter and daily brief summaries (see Full Pipeline tab). Price applies to prompts up to 100,000 tokens.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Dataset average across the 34 email threads.</t>
        </r>
      </text>
    </comment>
    <comment ref="D16" authorId="0">
      <text>
        <r>
          <rPr>
            <sz val="10"/>
            <rFont val="Arial"/>
            <family val="2"/>
          </rPr>
          <t xml:space="preserve">Template reference price for a large embedding model. Immaterial at this volume.</t>
        </r>
      </text>
    </comment>
    <comment ref="D23" authorId="0">
      <text>
        <r>
          <rPr>
            <sz val="10"/>
            <rFont val="Arial"/>
            <family val="2"/>
          </rPr>
          <t xml:space="preserve">Only if v2 adds 'Ask the account' search: 4 sellers x 5 questions a day x working days.</t>
        </r>
      </text>
    </comment>
    <comment ref="G8" authorId="0">
      <text>
        <r>
          <rPr>
            <sz val="10"/>
            <rFont val="Arial"/>
            <family val="2"/>
          </rPr>
          <t xml:space="preserve">Dataset average across the 16 meeting notes.</t>
        </r>
      </text>
    </comment>
    <comment ref="J8" authorId="0">
      <text>
        <r>
          <rPr>
            <sz val="10"/>
            <rFont val="Arial"/>
            <family val="2"/>
          </rPr>
          <t xml:space="preserve">Dataset estimate: ~140 characters per CRM row.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Sales emails + meeting notes that someone would have to read to track every commitment by hand.</t>
        </r>
      </text>
    </comment>
    <comment ref="E6" authorId="0">
      <text>
        <r>
          <rPr>
            <sz val="10"/>
            <rFont val="Arial"/>
            <family val="2"/>
          </rPr>
          <t xml:space="preserve">Assumption: a sales-ops assistant can read, log and follow up on ~60 threads a day carefully (~7-8 minutes each).</t>
        </r>
      </text>
    </comment>
    <comment ref="E15" authorId="0">
      <text>
        <r>
          <rPr>
            <sz val="10"/>
            <rFont val="Arial"/>
            <family val="2"/>
          </rPr>
          <t xml:space="preserve">Assumption: monthly salary of a sales-ops coordinator in India (~INR 40,000), in USD. Replace with AtliQ's figure.</t>
        </r>
      </text>
    </comment>
    <comment ref="E16" authorId="0">
      <text>
        <r>
          <rPr>
            <sz val="10"/>
            <rFont val="Arial"/>
            <family val="2"/>
          </rPr>
          <t xml:space="preserve">Assumption: overhead (laptop, software seats, management time) per month.</t>
        </r>
      </text>
    </comment>
    <comment ref="E24" authorId="0">
      <text>
        <r>
          <rPr>
            <sz val="10"/>
            <rFont val="Arial"/>
            <family val="2"/>
          </rPr>
          <t xml:space="preserve">Total monthly AI cost of all pipeline steps (Haiku filter + Sonnet extraction + checks + briefs + evals), from the 'Full Pipeline (added)' tab.</t>
        </r>
      </text>
    </comment>
    <comment ref="E25" authorId="0">
      <text>
        <r>
          <rPr>
            <sz val="10"/>
            <rFont val="Arial"/>
            <family val="2"/>
          </rPr>
          <t xml:space="preserve">V1 does not use embeddings (see Embeddings tab note).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Dataset README.</t>
        </r>
      </text>
    </comment>
    <comment ref="C8" authorId="0">
      <text>
        <r>
          <rPr>
            <sz val="10"/>
            <rFont val="Arial"/>
            <family val="2"/>
          </rPr>
          <t xml:space="preserve">Assumption: founders also run operations. Validate in beta.</t>
        </r>
      </text>
    </comment>
    <comment ref="C9" authorId="0">
      <text>
        <r>
          <rPr>
            <sz val="10"/>
            <rFont val="Arial"/>
            <family val="2"/>
          </rPr>
          <t xml:space="preserve">Assumption. The dataset's 34 sales threads cover ~3 weeks for 4 people; real mailboxes also hold internal and delivery mail.</t>
        </r>
      </text>
    </comment>
    <comment ref="C10" authorId="0">
      <text>
        <r>
          <rPr>
            <sz val="10"/>
            <rFont val="Arial"/>
            <family val="2"/>
          </rPr>
          <t xml:space="preserve">Assumption; many notes are short scribbles.</t>
        </r>
      </text>
    </comment>
    <comment ref="C15" authorId="0">
      <text>
        <r>
          <rPr>
            <sz val="10"/>
            <rFont val="Arial"/>
            <family val="2"/>
          </rPr>
          <t xml:space="preserve">Only when rules cannot decide: name collisions, conflicting dates, duplicate suspicion.</t>
        </r>
      </text>
    </comment>
    <comment ref="C20" authorId="0">
      <text>
        <r>
          <rPr>
            <sz val="10"/>
            <rFont val="Arial"/>
            <family val="2"/>
          </rPr>
          <t xml:space="preserve">Pricing page: Batch API gives a 50% discount on both input and output tokens.</t>
        </r>
      </text>
    </comment>
    <comment ref="C22" authorId="0">
      <text>
        <r>
          <rPr>
            <sz val="10"/>
            <rFont val="Arial"/>
            <family val="2"/>
          </rPr>
          <t xml:space="preserve">Pricing page lists data residency at 1.1x. Relevant because FinEdge requires in-country hosting.</t>
        </r>
      </text>
    </comment>
    <comment ref="F42" authorId="0">
      <text>
        <r>
          <rPr>
            <sz val="10"/>
            <rFont val="Arial"/>
            <family val="2"/>
          </rPr>
          <t xml:space="preserve">Dataset: 37 commitments fell due in ~4 weeks; rounded up for real volume.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Evidence: Karandeep searched his inbox mid-meeting on 7 Jul; 'we find out what's urgent by accident'.</t>
        </r>
      </text>
    </comment>
    <comment ref="C8" authorId="0">
      <text>
        <r>
          <rPr>
            <sz val="10"/>
            <rFont val="Arial"/>
            <family val="2"/>
          </rPr>
          <t xml:space="preserve">PRD target: under 5 minutes a day.</t>
        </r>
      </text>
    </comment>
    <comment ref="C10" authorId="0">
      <text>
        <r>
          <rPr>
            <sz val="10"/>
            <rFont val="Arial"/>
            <family val="2"/>
          </rPr>
          <t xml:space="preserve">From ~2 hours before each pipeline review to ~15 minutes of approvals.</t>
        </r>
      </text>
    </comment>
    <comment ref="C11" authorId="0">
      <text>
        <r>
          <rPr>
            <sz val="10"/>
            <rFont val="Arial"/>
            <family val="2"/>
          </rPr>
          <t xml:space="preserve">Assumption.</t>
        </r>
      </text>
    </comment>
    <comment ref="C17" authorId="0">
      <text>
        <r>
          <rPr>
            <sz val="10"/>
            <rFont val="Arial"/>
            <family val="2"/>
          </rPr>
          <t xml:space="preserve">Step 1 workbook, 'Pipeline at Risk' tab: 9 valued deals.</t>
        </r>
      </text>
    </comment>
    <comment ref="C18" authorId="0">
      <text>
        <r>
          <rPr>
            <sz val="10"/>
            <rFont val="Arial"/>
            <family val="2"/>
          </rPr>
          <t xml:space="preserve">Assumption. Some losses are on price (Kaveri, RetailOne) and would not be prevented.</t>
        </r>
      </text>
    </comment>
    <comment ref="C19" authorId="0">
      <text>
        <r>
          <rPr>
            <sz val="10"/>
            <rFont val="Arial"/>
            <family val="2"/>
          </rPr>
          <t xml:space="preserve">Conservative: it surfaces the item; people still have to act.</t>
        </r>
      </text>
    </comment>
    <comment ref="C21" authorId="0">
      <text>
        <r>
          <rPr>
            <sz val="10"/>
            <rFont val="Arial"/>
            <family val="2"/>
          </rPr>
          <t xml:space="preserve">Replace with AtliQ's actual margin.</t>
        </r>
      </text>
    </comment>
  </commentList>
</comments>
</file>

<file path=xl/sharedStrings.xml><?xml version="1.0" encoding="utf-8"?>
<sst xmlns="http://schemas.openxmlformats.org/spreadsheetml/2006/main" count="233" uniqueCount="202">
  <si>
    <t xml:space="preserve">Base Calculation</t>
  </si>
  <si>
    <t xml:space="preserve">Model Selection + Cost Estimation</t>
  </si>
  <si>
    <t xml:space="preserve">Description</t>
  </si>
  <si>
    <t xml:space="preserve">Quantity</t>
  </si>
  <si>
    <t xml:space="preserve">Model Name</t>
  </si>
  <si>
    <t xml:space="preserve">Input cost($) per 1M token</t>
  </si>
  <si>
    <t xml:space="preserve">Output cost($) per 1M token</t>
  </si>
  <si>
    <t xml:space="preserve">Cost per input Query($)</t>
  </si>
  <si>
    <t xml:space="preserve">Cost per output query Query($)</t>
  </si>
  <si>
    <t xml:space="preserve">Total Cost per query</t>
  </si>
  <si>
    <t xml:space="preserve">Total cost per month</t>
  </si>
  <si>
    <t xml:space="preserve">Email thread / meeting note</t>
  </si>
  <si>
    <t xml:space="preserve">Claude Opus 5.5</t>
  </si>
  <si>
    <t xml:space="preserve">System Prompt</t>
  </si>
  <si>
    <t xml:space="preserve">Claude Sonnet 5.5</t>
  </si>
  <si>
    <t xml:space="preserve">Team directory + examples</t>
  </si>
  <si>
    <t xml:space="preserve">Claude Haiku 5.5</t>
  </si>
  <si>
    <t xml:space="preserve">Matching CRM record(s)</t>
  </si>
  <si>
    <t xml:space="preserve">Recent account context</t>
  </si>
  <si>
    <t xml:space="preserve">Total input tokens per query</t>
  </si>
  <si>
    <t xml:space="preserve">Total Output tokens per query</t>
  </si>
  <si>
    <t xml:space="preserve">Total Token per query</t>
  </si>
  <si>
    <t xml:space="preserve">Rows 6-12 describe ONE extraction call: AI reads one email thread or meeting note and returns commitments, deadlines, leads and signals.</t>
  </si>
  <si>
    <t xml:space="preserve">Total calls received per day</t>
  </si>
  <si>
    <t xml:space="preserve">Chosen model for this step: Claude Sonnet 5.5 (row 7). Claude Haiku 5.5 (row 8) runs the cheap relevance filter and brief summaries.</t>
  </si>
  <si>
    <t xml:space="preserve">Total number of days per month</t>
  </si>
  <si>
    <t xml:space="preserve">Full monthly cost of every step, batch discount, hosting and scenarios: see the 'Full Pipeline (added)' tab.</t>
  </si>
  <si>
    <t xml:space="preserve">Total monthly volume of calls</t>
  </si>
  <si>
    <t xml:space="preserve">Token/word</t>
  </si>
  <si>
    <t xml:space="preserve">Emails (sales, per month)</t>
  </si>
  <si>
    <t xml:space="preserve">Meeting notes (per month)</t>
  </si>
  <si>
    <t xml:space="preserve">CRM records</t>
  </si>
  <si>
    <t xml:space="preserve">Component</t>
  </si>
  <si>
    <t xml:space="preserve">Number of emails</t>
  </si>
  <si>
    <t xml:space="preserve">Number of notes</t>
  </si>
  <si>
    <t xml:space="preserve">Number of CRM records</t>
  </si>
  <si>
    <t xml:space="preserve">Number of words per email</t>
  </si>
  <si>
    <t xml:space="preserve">Number of words per note</t>
  </si>
  <si>
    <t xml:space="preserve">Number of words per record</t>
  </si>
  <si>
    <t xml:space="preserve">Total number of words</t>
  </si>
  <si>
    <t xml:space="preserve">Total Tokens</t>
  </si>
  <si>
    <t xml:space="preserve">Total tokens</t>
  </si>
  <si>
    <t xml:space="preserve">RAG Embeddings</t>
  </si>
  <si>
    <t xml:space="preserve">Cost/Quantity</t>
  </si>
  <si>
    <t xml:space="preserve">Total tokens for RAG</t>
  </si>
  <si>
    <t xml:space="preserve">Cost per 1M token</t>
  </si>
  <si>
    <t xml:space="preserve">Total cost for RAG</t>
  </si>
  <si>
    <t xml:space="preserve">User Query Embeddings</t>
  </si>
  <si>
    <t xml:space="preserve">Token per user query</t>
  </si>
  <si>
    <t xml:space="preserve">Total queries per month</t>
  </si>
  <si>
    <t xml:space="preserve">Token tokens per month</t>
  </si>
  <si>
    <t xml:space="preserve">Total cost for user query embeddings</t>
  </si>
  <si>
    <t xml:space="preserve">Total cost of Embeddings</t>
  </si>
  <si>
    <t xml:space="preserve">NOTE: PromiseKeeper V1 does NOT use embeddings or a vector database. Each AI call already receives the whole thread plus its CRM record (~3,700 tokens).</t>
  </si>
  <si>
    <t xml:space="preserve">The figures above size a possible v2 'Ask the account' search feature. Even then the cost is a few cents a month; V1 counts embeddings as $0 (Cost Savings, cell E25).</t>
  </si>
  <si>
    <t xml:space="preserve">Calculating Human Agent need (manual sales-ops alternative)</t>
  </si>
  <si>
    <t xml:space="preserve">Documents to review per day</t>
  </si>
  <si>
    <t xml:space="preserve">Documents reviewed per agent/day</t>
  </si>
  <si>
    <t xml:space="preserve">Queries handled per month</t>
  </si>
  <si>
    <t xml:space="preserve">Total documents per month</t>
  </si>
  <si>
    <t xml:space="preserve">Number of sales-ops agents required</t>
  </si>
  <si>
    <t xml:space="preserve">Total monthly cost of Human Agents</t>
  </si>
  <si>
    <t xml:space="preserve">Cost</t>
  </si>
  <si>
    <t xml:space="preserve">Salary</t>
  </si>
  <si>
    <t xml:space="preserve">Admin Cost</t>
  </si>
  <si>
    <t xml:space="preserve">Total cost per human agent per month</t>
  </si>
  <si>
    <t xml:space="preserve">Total cost for Human agent per month</t>
  </si>
  <si>
    <t xml:space="preserve">Cost for PromiseKeeper (AI)</t>
  </si>
  <si>
    <t xml:space="preserve">Inference Cost</t>
  </si>
  <si>
    <t xml:space="preserve">Embeddings Cost</t>
  </si>
  <si>
    <t xml:space="preserve">Total PromiseKeeper AI cost</t>
  </si>
  <si>
    <t xml:space="preserve">Total Savings</t>
  </si>
  <si>
    <t xml:space="preserve">% Savings</t>
  </si>
  <si>
    <t xml:space="preserve">Reading this sheet: AtliQ would not actually hire sales-ops staff; this is the cost of keeping commitments tracked by hand, which today falls on the founders and Jay.</t>
  </si>
  <si>
    <t xml:space="preserve">Hosting (~$45/month in production) and the value of deals protected are on the 'Full Pipeline (added)' and 'Value &amp; Decisions (added)' tabs.</t>
  </si>
  <si>
    <t xml:space="preserve">Full pipeline cost: every AI step, hosting, totals and scenarios</t>
  </si>
  <si>
    <t xml:space="preserve">Added tab. Extends the template's single-call calculation (Inference tab) to the whole PromiseKeeper pipeline. Blue = assumption, black = formula, green = link.</t>
  </si>
  <si>
    <t xml:space="preserve">1. Volume assumptions (AtliQ's real mailboxes)</t>
  </si>
  <si>
    <t xml:space="preserve">2. Monthly AI cost by pipeline step</t>
  </si>
  <si>
    <t xml:space="preserve">Assumption</t>
  </si>
  <si>
    <t xml:space="preserve">Value</t>
  </si>
  <si>
    <t xml:space="preserve">Step</t>
  </si>
  <si>
    <t xml:space="preserve">Model</t>
  </si>
  <si>
    <t xml:space="preserve">Input tokens / call</t>
  </si>
  <si>
    <t xml:space="preserve">Output tokens / call</t>
  </si>
  <si>
    <t xml:space="preserve">Calls / month</t>
  </si>
  <si>
    <t xml:space="preserve">Batch? (1/0)</t>
  </si>
  <si>
    <t xml:space="preserve">Cost / month ($)</t>
  </si>
  <si>
    <t xml:space="preserve">Notes</t>
  </si>
  <si>
    <t xml:space="preserve">Sellers (Bhavin, Dhaval, Karandeep, Jay)</t>
  </si>
  <si>
    <t xml:space="preserve">1. Relevance filter: is this a sales/client email?</t>
  </si>
  <si>
    <t xml:space="preserve">Every email. Keeps Sonnet on the ~30% that matter.</t>
  </si>
  <si>
    <t xml:space="preserve">Emails per seller per working day (all topics)</t>
  </si>
  <si>
    <t xml:space="preserve">2. Commitment, deadline, lead and signal extraction</t>
  </si>
  <si>
    <t xml:space="preserve">The template's single call (Inference tab), at full volume.</t>
  </si>
  <si>
    <t xml:space="preserve">Share that are sales / client threads</t>
  </si>
  <si>
    <t xml:space="preserve">3. Ambiguity / CRM-diff check</t>
  </si>
  <si>
    <t xml:space="preserve">Only when rules cannot decide.</t>
  </si>
  <si>
    <t xml:space="preserve">Meeting / call notes per seller per day</t>
  </si>
  <si>
    <t xml:space="preserve">4. Daily brief summary (per seller + team view)</t>
  </si>
  <si>
    <t xml:space="preserve">Also on demand, so standard price. Ranking itself is rules: zero tokens.</t>
  </si>
  <si>
    <t xml:space="preserve">Emails per day across the team</t>
  </si>
  <si>
    <t xml:space="preserve">5. Eval regression on the answer key</t>
  </si>
  <si>
    <t xml:space="preserve">Keeps the PRD's launch gates honest after prompt changes.</t>
  </si>
  <si>
    <t xml:space="preserve">Sales / client emails per day</t>
  </si>
  <si>
    <t xml:space="preserve">Meeting notes per day</t>
  </si>
  <si>
    <t xml:space="preserve">Extraction calls per day (feeds Inference!C14)</t>
  </si>
  <si>
    <t xml:space="preserve">Ambiguous items needing an extra AI check per day</t>
  </si>
  <si>
    <t xml:space="preserve">Brief generations per day (4 sellers + team view + refreshes)</t>
  </si>
  <si>
    <t xml:space="preserve">Eval runs per month on the answer key (50 documents each)</t>
  </si>
  <si>
    <t xml:space="preserve">Run scheduled steps overnight via Batch API? (1 = yes)</t>
  </si>
  <si>
    <t xml:space="preserve">Batch API discount (input and output)</t>
  </si>
  <si>
    <t xml:space="preserve">Effective batch discount</t>
  </si>
  <si>
    <t xml:space="preserve">Total AI (inference) cost per month</t>
  </si>
  <si>
    <t xml:space="preserve">Data-residency multiplier (1.0 none; 1.1 in-region)</t>
  </si>
  <si>
    <t xml:space="preserve">Same, without batch discount</t>
  </si>
  <si>
    <t xml:space="preserve">3. Infrastructure per month</t>
  </si>
  <si>
    <t xml:space="preserve">Prototype (capstone)</t>
  </si>
  <si>
    <t xml:space="preserve">Production (V1)</t>
  </si>
  <si>
    <t xml:space="preserve">Web hosting (Next.js app)</t>
  </si>
  <si>
    <t xml:space="preserve">Vercel free tier / Vercel Pro ~$20 per user per month list price (confirm).</t>
  </si>
  <si>
    <t xml:space="preserve">Database + audit log (Postgres)</t>
  </si>
  <si>
    <t xml:space="preserve">Supabase free tier / Supabase Pro ~$25 per month list price (confirm).</t>
  </si>
  <si>
    <t xml:space="preserve">Email + CRM read-only APIs</t>
  </si>
  <si>
    <t xml:space="preserve">Included in existing workspace and CRM plans.</t>
  </si>
  <si>
    <t xml:space="preserve">Nightly scheduler</t>
  </si>
  <si>
    <t xml:space="preserve">Vercel cron / Supabase scheduled function, included.</t>
  </si>
  <si>
    <t xml:space="preserve">Vector DB / embeddings</t>
  </si>
  <si>
    <t xml:space="preserve">Not used in V1 (Embeddings tab).</t>
  </si>
  <si>
    <t xml:space="preserve">Total infrastructure per month</t>
  </si>
  <si>
    <t xml:space="preserve">4. Total cost and unit economics</t>
  </si>
  <si>
    <t xml:space="preserve">Measure</t>
  </si>
  <si>
    <t xml:space="preserve">Prototype</t>
  </si>
  <si>
    <t xml:space="preserve">AI inference per month</t>
  </si>
  <si>
    <t xml:space="preserve">Infrastructure per month</t>
  </si>
  <si>
    <t xml:space="preserve">Total running cost per month</t>
  </si>
  <si>
    <t xml:space="preserve">Total running cost per year</t>
  </si>
  <si>
    <t xml:space="preserve">Cost per seller per month</t>
  </si>
  <si>
    <t xml:space="preserve">Commitments tracked per month (assumption)</t>
  </si>
  <si>
    <t xml:space="preserve">AI cost per commitment tracked</t>
  </si>
  <si>
    <t xml:space="preserve">5. Scenarios</t>
  </si>
  <si>
    <t xml:space="preserve">Scenario</t>
  </si>
  <si>
    <t xml:space="preserve">AI cost / month</t>
  </si>
  <si>
    <t xml:space="preserve">Total (prod.) / month</t>
  </si>
  <si>
    <t xml:space="preserve">Comment</t>
  </si>
  <si>
    <t xml:space="preserve">Base case</t>
  </si>
  <si>
    <t xml:space="preserve">Haiku + Sonnet mix, nightly batch.</t>
  </si>
  <si>
    <t xml:space="preserve">No batch discount (real-time)</t>
  </si>
  <si>
    <t xml:space="preserve">If AtliQ wanted live alerts instead of a morning brief.</t>
  </si>
  <si>
    <t xml:space="preserve">Volume x3</t>
  </si>
  <si>
    <t xml:space="preserve">Busier season or more sellers.</t>
  </si>
  <si>
    <t xml:space="preserve">Volume x10</t>
  </si>
  <si>
    <t xml:space="preserve">PRD scalability target; no architecture change.</t>
  </si>
  <si>
    <t xml:space="preserve">Everything on Opus 5.5</t>
  </si>
  <si>
    <t xml:space="preserve">No model tiering.</t>
  </si>
  <si>
    <t xml:space="preserve">No Haiku filter (Sonnet reads every email)</t>
  </si>
  <si>
    <t xml:space="preserve">Shows what the cheap filter saves.</t>
  </si>
  <si>
    <t xml:space="preserve">Value of PromiseKeeper and how cost shaped its scope</t>
  </si>
  <si>
    <t xml:space="preserve">Added tab. The template's Cost Savings tab compares against hiring staff; this tab adds founder time returned and deals protected. Blue cells are assumptions to validate in the beta.</t>
  </si>
  <si>
    <t xml:space="preserve">1. Founder / seller time returned</t>
  </si>
  <si>
    <t xml:space="preserve">4. How cost shaped the scope</t>
  </si>
  <si>
    <t xml:space="preserve">Decision</t>
  </si>
  <si>
    <t xml:space="preserve">Cost impact</t>
  </si>
  <si>
    <t xml:space="preserve">Why it is the right product call</t>
  </si>
  <si>
    <t xml:space="preserve">Minutes per seller per day on inbox search and 'what's urgent?'</t>
  </si>
  <si>
    <t xml:space="preserve">Two-tier models: Haiku filters every email, Sonnet reads only sales threads</t>
  </si>
  <si>
    <t xml:space="preserve">Quality where it matters (quoted extraction), cheap speed where it doesn't.</t>
  </si>
  <si>
    <t xml:space="preserve">Minutes per seller per day with the PromiseKeeper brief</t>
  </si>
  <si>
    <t xml:space="preserve">Sonnet 5.5, not Opus 5.5, for extraction</t>
  </si>
  <si>
    <t xml:space="preserve">Structured, quote-checked task; evals decide quality. Opus kept in reserve.</t>
  </si>
  <si>
    <t xml:space="preserve">Hours returned per month (4 sellers)</t>
  </si>
  <si>
    <t xml:space="preserve">Nightly Batch API for scheduled steps</t>
  </si>
  <si>
    <t xml:space="preserve">Founders need a morning brief, not live alerts, so latency is free to trade.</t>
  </si>
  <si>
    <t xml:space="preserve">Jay's reconciliation hours saved per month</t>
  </si>
  <si>
    <t xml:space="preserve">Rules, not AI, for dates, ranking and owners</t>
  </si>
  <si>
    <t xml:space="preserve">Zero tokens; brief output capped ~800 tokens</t>
  </si>
  <si>
    <t xml:space="preserve">Deterministic and explainable.</t>
  </si>
  <si>
    <t xml:space="preserve">Value of one founder/seller hour (USD)</t>
  </si>
  <si>
    <t xml:space="preserve">No embeddings / vector DB in V1</t>
  </si>
  <si>
    <t xml:space="preserve">Embeddings tab: cents a month even in v2</t>
  </si>
  <si>
    <t xml:space="preserve">Skipped for simplicity, not money.</t>
  </si>
  <si>
    <t xml:space="preserve">Value of time returned per month</t>
  </si>
  <si>
    <t xml:space="preserve">Data residency kept as a visible lever</t>
  </si>
  <si>
    <t xml:space="preserve">1.1x price multiplier</t>
  </si>
  <si>
    <t xml:space="preserve">FinEdge requires in-country hosting.</t>
  </si>
  <si>
    <t xml:space="preserve">Weekly eval runs budgeted</t>
  </si>
  <si>
    <t xml:space="preserve">PRD launch gates need repeatable measurement.</t>
  </si>
  <si>
    <t xml:space="preserve">2. Revenue protected (expected value, conservative)</t>
  </si>
  <si>
    <t xml:space="preserve">Bottom line</t>
  </si>
  <si>
    <t xml:space="preserve">Valued pipeline at risk, 10 Jul 2026 (Step 1)</t>
  </si>
  <si>
    <t xml:space="preserve">Share AtliQ would lose through follow-up failures</t>
  </si>
  <si>
    <t xml:space="preserve">Share of those losses PromiseKeeper prevents</t>
  </si>
  <si>
    <t xml:space="preserve">Bookings protected per quarter</t>
  </si>
  <si>
    <t xml:space="preserve">Gross margin on services (assumption)</t>
  </si>
  <si>
    <t xml:space="preserve">Contribution protected per month</t>
  </si>
  <si>
    <t xml:space="preserve">3. Cost vs value per month (production)</t>
  </si>
  <si>
    <t xml:space="preserve">USD / month</t>
  </si>
  <si>
    <t xml:space="preserve">PromiseKeeper running cost (AI + hosting)</t>
  </si>
  <si>
    <t xml:space="preserve">Manual sales-ops alternative (Cost Savings tab)</t>
  </si>
  <si>
    <t xml:space="preserve">Value of time returned</t>
  </si>
  <si>
    <t xml:space="preserve">Contribution protected</t>
  </si>
  <si>
    <t xml:space="preserve">Value per $1 spent (time + contribution)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</si>
</sst>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[$$-409]#,##0.00"/>
    <numFmt numFmtId="166" formatCode="General"/>
    <numFmt numFmtId="167" formatCode="#,##0;\(#,##0\);\-"/>
    <numFmt numFmtId="168" formatCode="_(\₹* #,##0.00_);_(\₹* \(#,##0.00\);_(\₹* \-??_);_(@_)"/>
    <numFmt numFmtId="169" formatCode="_([$$-409]* #,##0.00_);_([$$-409]* \(#,##0.00\);_([$$-409]* \-??_);_(@_)"/>
    <numFmt numFmtId="170" formatCode="0%"/>
    <numFmt numFmtId="171" formatCode="\$#,##0.00;&quot;($&quot;#,##0.00\);\-"/>
    <numFmt numFmtId="172" formatCode="0.0%"/>
    <numFmt numFmtId="173" formatCode="0.00\x"/>
    <numFmt numFmtId="174" formatCode="\$#,##0;&quot;($&quot;#,##0\);\-"/>
    <numFmt numFmtId="175" formatCode="\$#,##0.0000"/>
    <numFmt numFmtId="176" formatCode="#,##0.0"/>
    <numFmt numFmtId="177" formatCode="#,##0.00"/>
    <numFmt numFmtId="178" formatCode="#,##0\x"/>
  </numFmts>
  <fonts count="16">
    <font>
      <sz val="14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i val="true"/>
      <sz val="10"/>
      <color rgb="FF595959"/>
      <name val="Calibri"/>
      <family val="0"/>
      <charset val="1"/>
    </font>
    <font>
      <sz val="10"/>
      <name val="Arial"/>
      <family val="2"/>
    </font>
    <font>
      <b val="true"/>
      <sz val="18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5999"/>
        <bgColor rgb="FFBFBFBF"/>
      </patternFill>
    </fill>
    <fill>
      <patternFill patternType="solid">
        <fgColor theme="4" tint="-0.25"/>
        <bgColor rgb="FF4472C4"/>
      </patternFill>
    </fill>
    <fill>
      <patternFill patternType="solid">
        <fgColor theme="4"/>
        <bgColor rgb="FF2F5597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thin">
        <color theme="4"/>
      </top>
      <bottom style="medium"/>
      <diagonal/>
    </border>
    <border diagonalUp="false" diagonalDown="false">
      <left style="thin">
        <color theme="4"/>
      </left>
      <right style="medium"/>
      <top style="thin">
        <color theme="4"/>
      </top>
      <bottom style="medium"/>
      <diagonal/>
    </border>
    <border diagonalUp="false" diagonalDown="false">
      <left style="medium"/>
      <right/>
      <top style="thin">
        <color theme="4"/>
      </top>
      <bottom/>
      <diagonal/>
    </border>
    <border diagonalUp="false" diagonalDown="false">
      <left/>
      <right style="medium"/>
      <top style="thin">
        <color theme="4"/>
      </top>
      <bottom/>
      <diagonal/>
    </border>
    <border diagonalUp="false" diagonalDown="false">
      <left style="thin">
        <color theme="4"/>
      </left>
      <right style="medium"/>
      <top style="medium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9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5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4C7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5:C16" headerRowCount="1" totalsRowCount="0" totalsRowShown="0">
  <autoFilter ref="B5:C16"/>
  <tableColumns count="2">
    <tableColumn id="1" name="Description"/>
    <tableColumn id="2" name="Quantity"/>
  </tableColumns>
</table>
</file>

<file path=xl/tables/table2.xml><?xml version="1.0" encoding="utf-8"?>
<table xmlns="http://schemas.openxmlformats.org/spreadsheetml/2006/main" id="2" name="Table10" displayName="Table10" ref="D23:E25" headerRowCount="1" totalsRowCount="0" totalsRowShown="0">
  <autoFilter ref="D23:E25"/>
  <tableColumns count="2">
    <tableColumn id="1" name="Component"/>
    <tableColumn id="2" name="Cost"/>
  </tableColumns>
</table>
</file>

<file path=xl/tables/table3.xml><?xml version="1.0" encoding="utf-8"?>
<table xmlns="http://schemas.openxmlformats.org/spreadsheetml/2006/main" id="3" name="Table2" displayName="Table2" ref="E5:K11" headerRowCount="1" totalsRowCount="0" totalsRowShown="0">
  <autoFilter ref="E5:K11"/>
  <tableColumns count="7">
    <tableColumn id="1" name="Model Name"/>
    <tableColumn id="2" name="Input cost($) per 1M token"/>
    <tableColumn id="3" name="Output cost($) per 1M token"/>
    <tableColumn id="4" name="Cost per input Query($)"/>
    <tableColumn id="5" name="Cost per output query Query($)"/>
    <tableColumn id="6" name="Total Cost per query"/>
    <tableColumn id="7" name="Total cost per month"/>
  </tableColumns>
</table>
</file>

<file path=xl/tables/table4.xml><?xml version="1.0" encoding="utf-8"?>
<table xmlns="http://schemas.openxmlformats.org/spreadsheetml/2006/main" id="4" name="Table3" displayName="Table3" ref="C6:D10" headerRowCount="1" totalsRowCount="0" totalsRowShown="0">
  <autoFilter ref="C6:D10"/>
  <tableColumns count="2">
    <tableColumn id="1" name="Component"/>
    <tableColumn id="2" name="Quantity"/>
  </tableColumns>
</table>
</file>

<file path=xl/tables/table5.xml><?xml version="1.0" encoding="utf-8"?>
<table xmlns="http://schemas.openxmlformats.org/spreadsheetml/2006/main" id="5" name="Table4" displayName="Table4" ref="F6:G10" headerRowCount="1" totalsRowCount="0" totalsRowShown="0">
  <autoFilter ref="F6:G10"/>
  <tableColumns count="2">
    <tableColumn id="1" name="Component"/>
    <tableColumn id="2" name="Quantity"/>
  </tableColumns>
</table>
</file>

<file path=xl/tables/table6.xml><?xml version="1.0" encoding="utf-8"?>
<table xmlns="http://schemas.openxmlformats.org/spreadsheetml/2006/main" id="6" name="Table5" displayName="Table5" ref="I6:J10" headerRowCount="1" totalsRowCount="0" totalsRowShown="0">
  <autoFilter ref="I6:J10"/>
  <tableColumns count="2">
    <tableColumn id="1" name="Component"/>
    <tableColumn id="2" name="Quantity"/>
  </tableColumns>
</table>
</file>

<file path=xl/tables/table7.xml><?xml version="1.0" encoding="utf-8"?>
<table xmlns="http://schemas.openxmlformats.org/spreadsheetml/2006/main" id="7" name="Table6" displayName="Table6" ref="C14:D17" headerRowCount="1" totalsRowCount="0" totalsRowShown="0">
  <autoFilter ref="C14:D17"/>
  <tableColumns count="2">
    <tableColumn id="1" name="Component"/>
    <tableColumn id="2" name="Cost/Quantity"/>
  </tableColumns>
</table>
</file>

<file path=xl/tables/table8.xml><?xml version="1.0" encoding="utf-8"?>
<table xmlns="http://schemas.openxmlformats.org/spreadsheetml/2006/main" id="8" name="Table7" displayName="Table7" ref="C21:D26" headerRowCount="1" totalsRowCount="0" totalsRowShown="0">
  <autoFilter ref="C21:D26"/>
  <tableColumns count="2">
    <tableColumn id="1" name="Component"/>
    <tableColumn id="2" name="Cost/Quantity"/>
  </tableColumns>
</table>
</file>

<file path=xl/tables/table9.xml><?xml version="1.0" encoding="utf-8"?>
<table xmlns="http://schemas.openxmlformats.org/spreadsheetml/2006/main" id="9" name="Table8" displayName="Table8" ref="D4:E10" headerRowCount="1" totalsRowCount="0" totalsRowShown="0">
  <autoFilter ref="D4:E10"/>
  <tableColumns count="2">
    <tableColumn id="1" name="Component"/>
    <tableColumn id="2" name="Quantity"/>
  </tableColumns>
</table>
</file>

<file path=xl/tables/table10.xml><?xml version="1.0" encoding="utf-8"?>
<table xmlns="http://schemas.openxmlformats.org/spreadsheetml/2006/main" id="10" name="Table9" displayName="Table9" ref="D14:E17" headerRowCount="1" totalsRowCount="0" totalsRowShown="0">
  <autoFilter ref="D14:E17"/>
  <tableColumns count="2">
    <tableColumn id="1" name="Component"/>
    <tableColumn id="2" name="Cost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K1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E4" activeCellId="0" sqref="E4"/>
    </sheetView>
  </sheetViews>
  <sheetFormatPr defaultColWidth="11.2109375" defaultRowHeight="18" zeroHeight="false" outlineLevelRow="0" outlineLevelCol="0"/>
  <cols>
    <col collapsed="false" customWidth="true" hidden="false" outlineLevel="0" max="2" min="2" style="0" width="29.07"/>
    <col collapsed="false" customWidth="true" hidden="false" outlineLevel="0" max="3" min="3" style="0" width="15.92"/>
    <col collapsed="false" customWidth="true" hidden="false" outlineLevel="0" max="5" min="5" style="0" width="16"/>
    <col collapsed="false" customWidth="true" hidden="false" outlineLevel="0" max="6" min="6" style="0" width="18.71"/>
    <col collapsed="false" customWidth="true" hidden="false" outlineLevel="0" max="7" min="7" style="0" width="20.28"/>
    <col collapsed="false" customWidth="true" hidden="false" outlineLevel="0" max="9" min="8" style="0" width="19"/>
    <col collapsed="false" customWidth="true" hidden="false" outlineLevel="0" max="10" min="10" style="0" width="12.57"/>
    <col collapsed="false" customWidth="true" hidden="false" outlineLevel="0" max="11" min="11" style="0" width="18.28"/>
  </cols>
  <sheetData>
    <row r="3" customFormat="false" ht="18.75" hidden="false" customHeight="true" outlineLevel="0" collapsed="false"/>
    <row r="4" customFormat="false" ht="18.75" hidden="false" customHeight="true" outlineLevel="0" collapsed="false">
      <c r="B4" s="1" t="s">
        <v>0</v>
      </c>
      <c r="C4" s="1"/>
      <c r="E4" s="2" t="s">
        <v>1</v>
      </c>
      <c r="F4" s="2"/>
      <c r="G4" s="2"/>
      <c r="H4" s="2"/>
      <c r="I4" s="2"/>
      <c r="J4" s="2"/>
      <c r="K4" s="2"/>
    </row>
    <row r="5" customFormat="false" ht="36.75" hidden="false" customHeight="true" outlineLevel="0" collapsed="false">
      <c r="B5" s="3" t="s">
        <v>2</v>
      </c>
      <c r="C5" s="4" t="s">
        <v>3</v>
      </c>
      <c r="E5" s="5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7" t="s">
        <v>10</v>
      </c>
    </row>
    <row r="6" customFormat="false" ht="18" hidden="false" customHeight="false" outlineLevel="0" collapsed="false">
      <c r="B6" s="3" t="s">
        <v>11</v>
      </c>
      <c r="C6" s="4" t="n">
        <v>250</v>
      </c>
      <c r="E6" s="8" t="s">
        <v>12</v>
      </c>
      <c r="F6" s="9" t="n">
        <v>4</v>
      </c>
      <c r="G6" s="9" t="n">
        <v>20</v>
      </c>
      <c r="H6" s="9" t="n">
        <f aca="false">F6*$C$11/1000000</f>
        <v>0.0128</v>
      </c>
      <c r="I6" s="9" t="n">
        <f aca="false">G6*$C$12/1000000</f>
        <v>0.01</v>
      </c>
      <c r="J6" s="9" t="n">
        <f aca="false">H6+I6</f>
        <v>0.0228</v>
      </c>
      <c r="K6" s="10" t="n">
        <f aca="false">Table2[[#This Row],[Total Cost per query]]*$C$16</f>
        <v>52.1664</v>
      </c>
    </row>
    <row r="7" customFormat="false" ht="18" hidden="false" customHeight="false" outlineLevel="0" collapsed="false">
      <c r="B7" s="3" t="s">
        <v>13</v>
      </c>
      <c r="C7" s="4" t="n">
        <v>1500</v>
      </c>
      <c r="E7" s="8" t="s">
        <v>14</v>
      </c>
      <c r="F7" s="9" t="n">
        <v>2</v>
      </c>
      <c r="G7" s="9" t="n">
        <v>10</v>
      </c>
      <c r="H7" s="9" t="n">
        <f aca="false">F7*$C$11/1000000</f>
        <v>0.0064</v>
      </c>
      <c r="I7" s="9" t="n">
        <f aca="false">G7*$C$12/1000000</f>
        <v>0.005</v>
      </c>
      <c r="J7" s="9" t="n">
        <f aca="false">H7+I7</f>
        <v>0.0114</v>
      </c>
      <c r="K7" s="10" t="n">
        <f aca="false">Table2[[#This Row],[Total Cost per query]]*$C$16</f>
        <v>26.0832</v>
      </c>
    </row>
    <row r="8" customFormat="false" ht="18" hidden="false" customHeight="false" outlineLevel="0" collapsed="false">
      <c r="B8" s="3" t="s">
        <v>15</v>
      </c>
      <c r="C8" s="4" t="n">
        <v>900</v>
      </c>
      <c r="E8" s="8" t="s">
        <v>16</v>
      </c>
      <c r="F8" s="9" t="n">
        <v>0.1</v>
      </c>
      <c r="G8" s="9" t="n">
        <v>0.5</v>
      </c>
      <c r="H8" s="9" t="n">
        <f aca="false">F8*$C$11/1000000</f>
        <v>0.00032</v>
      </c>
      <c r="I8" s="9" t="n">
        <f aca="false">G8*$C$12/1000000</f>
        <v>0.00025</v>
      </c>
      <c r="J8" s="9" t="n">
        <f aca="false">H8+I8</f>
        <v>0.00057</v>
      </c>
      <c r="K8" s="10" t="n">
        <f aca="false">Table2[[#This Row],[Total Cost per query]]*$C$16</f>
        <v>1.30416</v>
      </c>
    </row>
    <row r="9" customFormat="false" ht="18" hidden="false" customHeight="false" outlineLevel="0" collapsed="false">
      <c r="B9" s="3" t="s">
        <v>17</v>
      </c>
      <c r="C9" s="4" t="n">
        <v>150</v>
      </c>
      <c r="E9" s="11"/>
      <c r="F9" s="12"/>
      <c r="G9" s="12"/>
      <c r="H9" s="12"/>
      <c r="I9" s="12"/>
      <c r="J9" s="12"/>
      <c r="K9" s="13"/>
    </row>
    <row r="10" customFormat="false" ht="18" hidden="false" customHeight="false" outlineLevel="0" collapsed="false">
      <c r="B10" s="3" t="s">
        <v>18</v>
      </c>
      <c r="C10" s="4" t="n">
        <v>400</v>
      </c>
      <c r="E10" s="11"/>
      <c r="F10" s="12"/>
      <c r="G10" s="12"/>
      <c r="H10" s="12"/>
      <c r="I10" s="12"/>
      <c r="J10" s="12"/>
      <c r="K10" s="13"/>
    </row>
    <row r="11" customFormat="false" ht="18" hidden="false" customHeight="false" outlineLevel="0" collapsed="false">
      <c r="B11" s="14" t="s">
        <v>19</v>
      </c>
      <c r="C11" s="15" t="n">
        <f aca="false">SUM(C6:C10)</f>
        <v>3200</v>
      </c>
      <c r="E11" s="16"/>
      <c r="F11" s="17"/>
      <c r="G11" s="17"/>
      <c r="H11" s="17"/>
      <c r="I11" s="17"/>
      <c r="J11" s="17"/>
      <c r="K11" s="18"/>
    </row>
    <row r="12" customFormat="false" ht="18" hidden="false" customHeight="false" outlineLevel="0" collapsed="false">
      <c r="B12" s="3" t="s">
        <v>20</v>
      </c>
      <c r="C12" s="4" t="n">
        <v>500</v>
      </c>
    </row>
    <row r="13" customFormat="false" ht="18" hidden="false" customHeight="false" outlineLevel="0" collapsed="false">
      <c r="B13" s="14" t="s">
        <v>21</v>
      </c>
      <c r="C13" s="15" t="n">
        <f aca="false">C11+C12</f>
        <v>3700</v>
      </c>
      <c r="E13" s="19" t="s">
        <v>22</v>
      </c>
    </row>
    <row r="14" customFormat="false" ht="18" hidden="false" customHeight="false" outlineLevel="0" collapsed="false">
      <c r="B14" s="3" t="s">
        <v>23</v>
      </c>
      <c r="C14" s="20" t="n">
        <f aca="false">'Full Pipeline (added)'!C14</f>
        <v>104</v>
      </c>
      <c r="E14" s="19" t="s">
        <v>24</v>
      </c>
    </row>
    <row r="15" customFormat="false" ht="18" hidden="false" customHeight="false" outlineLevel="0" collapsed="false">
      <c r="B15" s="3" t="s">
        <v>25</v>
      </c>
      <c r="C15" s="4" t="n">
        <v>22</v>
      </c>
      <c r="E15" s="19" t="s">
        <v>26</v>
      </c>
    </row>
    <row r="16" customFormat="false" ht="18.75" hidden="false" customHeight="true" outlineLevel="0" collapsed="false">
      <c r="B16" s="21" t="s">
        <v>27</v>
      </c>
      <c r="C16" s="22" t="n">
        <f aca="false">C14*C15</f>
        <v>2288</v>
      </c>
    </row>
  </sheetData>
  <mergeCells count="2">
    <mergeCell ref="B4:C4"/>
    <mergeCell ref="E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J3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F14" activeCellId="0" sqref="F14"/>
    </sheetView>
  </sheetViews>
  <sheetFormatPr defaultColWidth="11.2109375" defaultRowHeight="18" zeroHeight="false" outlineLevelRow="0" outlineLevelCol="0"/>
  <cols>
    <col collapsed="false" customWidth="true" hidden="false" outlineLevel="0" max="3" min="3" style="0" width="31.28"/>
    <col collapsed="false" customWidth="true" hidden="false" outlineLevel="0" max="4" min="4" style="0" width="18"/>
    <col collapsed="false" customWidth="true" hidden="false" outlineLevel="0" max="6" min="6" style="0" width="22.28"/>
    <col collapsed="false" customWidth="true" hidden="false" outlineLevel="0" max="7" min="7" style="0" width="15"/>
    <col collapsed="false" customWidth="true" hidden="false" outlineLevel="0" max="9" min="9" style="0" width="23.42"/>
    <col collapsed="false" customWidth="true" hidden="false" outlineLevel="0" max="10" min="10" style="0" width="14.92"/>
  </cols>
  <sheetData>
    <row r="2" customFormat="false" ht="18.75" hidden="false" customHeight="true" outlineLevel="0" collapsed="false"/>
    <row r="3" customFormat="false" ht="24" hidden="false" customHeight="true" outlineLevel="0" collapsed="false">
      <c r="C3" s="23" t="s">
        <v>28</v>
      </c>
      <c r="D3" s="24" t="n">
        <v>1.3</v>
      </c>
    </row>
    <row r="4" customFormat="false" ht="18.75" hidden="false" customHeight="true" outlineLevel="0" collapsed="false"/>
    <row r="5" customFormat="false" ht="19.5" hidden="false" customHeight="true" outlineLevel="0" collapsed="false">
      <c r="C5" s="25" t="s">
        <v>29</v>
      </c>
      <c r="D5" s="25"/>
      <c r="F5" s="26" t="s">
        <v>30</v>
      </c>
      <c r="G5" s="26"/>
      <c r="I5" s="26" t="s">
        <v>31</v>
      </c>
      <c r="J5" s="26"/>
    </row>
    <row r="6" customFormat="false" ht="18" hidden="false" customHeight="false" outlineLevel="0" collapsed="false">
      <c r="C6" s="27" t="s">
        <v>32</v>
      </c>
      <c r="D6" s="28" t="s">
        <v>3</v>
      </c>
      <c r="F6" s="27" t="s">
        <v>32</v>
      </c>
      <c r="G6" s="28" t="s">
        <v>3</v>
      </c>
      <c r="I6" s="27" t="s">
        <v>32</v>
      </c>
      <c r="J6" s="28" t="s">
        <v>3</v>
      </c>
    </row>
    <row r="7" customFormat="false" ht="18" hidden="false" customHeight="false" outlineLevel="0" collapsed="false">
      <c r="C7" s="29" t="s">
        <v>33</v>
      </c>
      <c r="D7" s="30" t="n">
        <f aca="false">'Full Pipeline (added)'!C12*Inference!C15</f>
        <v>2112</v>
      </c>
      <c r="F7" s="31" t="s">
        <v>34</v>
      </c>
      <c r="G7" s="32" t="n">
        <f aca="false">'Full Pipeline (added)'!C13*Inference!C15</f>
        <v>176</v>
      </c>
      <c r="I7" s="33" t="s">
        <v>35</v>
      </c>
      <c r="J7" s="30" t="n">
        <v>40</v>
      </c>
    </row>
    <row r="8" customFormat="false" ht="35.8" hidden="false" customHeight="false" outlineLevel="0" collapsed="false">
      <c r="C8" s="29" t="s">
        <v>36</v>
      </c>
      <c r="D8" s="30" t="n">
        <v>134</v>
      </c>
      <c r="F8" s="31" t="s">
        <v>37</v>
      </c>
      <c r="G8" s="32" t="n">
        <v>99</v>
      </c>
      <c r="I8" s="34" t="s">
        <v>38</v>
      </c>
      <c r="J8" s="30" t="n">
        <v>25</v>
      </c>
    </row>
    <row r="9" customFormat="false" ht="18" hidden="false" customHeight="false" outlineLevel="0" collapsed="false">
      <c r="C9" s="29" t="s">
        <v>39</v>
      </c>
      <c r="D9" s="30" t="n">
        <f aca="false">D7*D8</f>
        <v>283008</v>
      </c>
      <c r="F9" s="31" t="s">
        <v>39</v>
      </c>
      <c r="G9" s="32" t="n">
        <f aca="false">G8*G7</f>
        <v>17424</v>
      </c>
      <c r="I9" s="33" t="s">
        <v>39</v>
      </c>
      <c r="J9" s="30" t="n">
        <f aca="false">J8*J7</f>
        <v>1000</v>
      </c>
    </row>
    <row r="10" customFormat="false" ht="18.75" hidden="false" customHeight="true" outlineLevel="0" collapsed="false">
      <c r="C10" s="35" t="s">
        <v>40</v>
      </c>
      <c r="D10" s="36" t="n">
        <f aca="false">D9*D3</f>
        <v>367910.4</v>
      </c>
      <c r="F10" s="35" t="s">
        <v>41</v>
      </c>
      <c r="G10" s="36" t="n">
        <f aca="false">G9*D3</f>
        <v>22651.2</v>
      </c>
      <c r="I10" s="35" t="s">
        <v>41</v>
      </c>
      <c r="J10" s="36" t="n">
        <f aca="false">J9*D3</f>
        <v>1300</v>
      </c>
    </row>
    <row r="12" customFormat="false" ht="18.75" hidden="false" customHeight="true" outlineLevel="0" collapsed="false"/>
    <row r="13" customFormat="false" ht="18" hidden="false" customHeight="true" outlineLevel="0" collapsed="false">
      <c r="C13" s="25" t="s">
        <v>42</v>
      </c>
      <c r="D13" s="25"/>
    </row>
    <row r="14" customFormat="false" ht="18" hidden="false" customHeight="false" outlineLevel="0" collapsed="false">
      <c r="C14" s="27" t="s">
        <v>32</v>
      </c>
      <c r="D14" s="28" t="s">
        <v>43</v>
      </c>
    </row>
    <row r="15" customFormat="false" ht="18" hidden="false" customHeight="false" outlineLevel="0" collapsed="false">
      <c r="C15" s="29" t="s">
        <v>44</v>
      </c>
      <c r="D15" s="30" t="n">
        <f aca="false">D10+G10+J10</f>
        <v>391861.6</v>
      </c>
    </row>
    <row r="16" customFormat="false" ht="18" hidden="false" customHeight="false" outlineLevel="0" collapsed="false">
      <c r="C16" s="29" t="s">
        <v>45</v>
      </c>
      <c r="D16" s="30" t="n">
        <v>0.13</v>
      </c>
    </row>
    <row r="17" customFormat="false" ht="18.75" hidden="false" customHeight="true" outlineLevel="0" collapsed="false">
      <c r="C17" s="37" t="s">
        <v>46</v>
      </c>
      <c r="D17" s="38" t="n">
        <f aca="false">D15*D16/1000000</f>
        <v>0.050942008</v>
      </c>
    </row>
    <row r="19" customFormat="false" ht="18.75" hidden="false" customHeight="true" outlineLevel="0" collapsed="false"/>
    <row r="20" customFormat="false" ht="18" hidden="false" customHeight="true" outlineLevel="0" collapsed="false">
      <c r="C20" s="25" t="s">
        <v>47</v>
      </c>
      <c r="D20" s="25"/>
    </row>
    <row r="21" customFormat="false" ht="18" hidden="false" customHeight="false" outlineLevel="0" collapsed="false">
      <c r="C21" s="27" t="s">
        <v>32</v>
      </c>
      <c r="D21" s="28" t="s">
        <v>43</v>
      </c>
    </row>
    <row r="22" customFormat="false" ht="18" hidden="false" customHeight="false" outlineLevel="0" collapsed="false">
      <c r="C22" s="29" t="s">
        <v>48</v>
      </c>
      <c r="D22" s="4" t="n">
        <v>20</v>
      </c>
    </row>
    <row r="23" customFormat="false" ht="18" hidden="false" customHeight="false" outlineLevel="0" collapsed="false">
      <c r="C23" s="29" t="s">
        <v>49</v>
      </c>
      <c r="D23" s="30" t="n">
        <f aca="false">4*5*Inference!C15</f>
        <v>440</v>
      </c>
    </row>
    <row r="24" customFormat="false" ht="18" hidden="false" customHeight="false" outlineLevel="0" collapsed="false">
      <c r="C24" s="29" t="s">
        <v>50</v>
      </c>
      <c r="D24" s="30" t="n">
        <f aca="false">D23*D22</f>
        <v>8800</v>
      </c>
    </row>
    <row r="25" customFormat="false" ht="18" hidden="false" customHeight="false" outlineLevel="0" collapsed="false">
      <c r="C25" s="39" t="s">
        <v>45</v>
      </c>
      <c r="D25" s="40" t="n">
        <v>0.13</v>
      </c>
    </row>
    <row r="26" customFormat="false" ht="18.75" hidden="false" customHeight="true" outlineLevel="0" collapsed="false">
      <c r="C26" s="41" t="s">
        <v>51</v>
      </c>
      <c r="D26" s="38" t="n">
        <f aca="false">D24*D25/1000000</f>
        <v>0.001144</v>
      </c>
    </row>
    <row r="28" customFormat="false" ht="18.75" hidden="false" customHeight="true" outlineLevel="0" collapsed="false"/>
    <row r="29" customFormat="false" ht="18.75" hidden="false" customHeight="true" outlineLevel="0" collapsed="false">
      <c r="C29" s="42" t="s">
        <v>52</v>
      </c>
      <c r="D29" s="43" t="n">
        <f aca="false">D17+D26</f>
        <v>0.052086008</v>
      </c>
    </row>
    <row r="31" customFormat="false" ht="18" hidden="false" customHeight="false" outlineLevel="0" collapsed="false">
      <c r="C31" s="19" t="s">
        <v>53</v>
      </c>
    </row>
    <row r="32" customFormat="false" ht="18" hidden="false" customHeight="false" outlineLevel="0" collapsed="false">
      <c r="C32" s="19" t="s">
        <v>54</v>
      </c>
    </row>
  </sheetData>
  <mergeCells count="5">
    <mergeCell ref="C5:D5"/>
    <mergeCell ref="F5:G5"/>
    <mergeCell ref="I5:J5"/>
    <mergeCell ref="C13:D13"/>
    <mergeCell ref="C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E3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15" activeCellId="0" sqref="G15"/>
    </sheetView>
  </sheetViews>
  <sheetFormatPr defaultColWidth="11.2109375" defaultRowHeight="18" zeroHeight="false" outlineLevelRow="0" outlineLevelCol="0"/>
  <cols>
    <col collapsed="false" customWidth="true" hidden="false" outlineLevel="0" max="4" min="4" style="0" width="33.07"/>
    <col collapsed="false" customWidth="true" hidden="false" outlineLevel="0" max="5" min="5" style="0" width="15"/>
  </cols>
  <sheetData>
    <row r="3" customFormat="false" ht="18" hidden="false" customHeight="false" outlineLevel="0" collapsed="false">
      <c r="D3" s="44" t="s">
        <v>55</v>
      </c>
      <c r="E3" s="44"/>
    </row>
    <row r="4" customFormat="false" ht="18" hidden="false" customHeight="false" outlineLevel="0" collapsed="false">
      <c r="D4" s="45" t="s">
        <v>32</v>
      </c>
      <c r="E4" s="45" t="s">
        <v>3</v>
      </c>
    </row>
    <row r="5" customFormat="false" ht="18" hidden="false" customHeight="false" outlineLevel="0" collapsed="false">
      <c r="D5" s="45" t="s">
        <v>56</v>
      </c>
      <c r="E5" s="46" t="n">
        <f aca="false">Inference!C14</f>
        <v>104</v>
      </c>
    </row>
    <row r="6" customFormat="false" ht="18" hidden="false" customHeight="false" outlineLevel="0" collapsed="false">
      <c r="D6" s="45" t="s">
        <v>57</v>
      </c>
      <c r="E6" s="45" t="n">
        <v>60</v>
      </c>
    </row>
    <row r="7" customFormat="false" ht="18" hidden="false" customHeight="false" outlineLevel="0" collapsed="false">
      <c r="D7" s="45" t="s">
        <v>25</v>
      </c>
      <c r="E7" s="45" t="n">
        <f aca="false">Inference!C15</f>
        <v>22</v>
      </c>
    </row>
    <row r="8" customFormat="false" ht="18" hidden="false" customHeight="false" outlineLevel="0" collapsed="false">
      <c r="D8" s="45" t="s">
        <v>58</v>
      </c>
      <c r="E8" s="45" t="n">
        <f aca="false">E6*E7</f>
        <v>1320</v>
      </c>
    </row>
    <row r="9" customFormat="false" ht="18" hidden="false" customHeight="false" outlineLevel="0" collapsed="false">
      <c r="D9" s="45" t="s">
        <v>59</v>
      </c>
      <c r="E9" s="45" t="n">
        <f aca="false">E5*E7</f>
        <v>2288</v>
      </c>
    </row>
    <row r="10" customFormat="false" ht="18" hidden="false" customHeight="false" outlineLevel="0" collapsed="false">
      <c r="D10" s="45" t="s">
        <v>60</v>
      </c>
      <c r="E10" s="45" t="n">
        <f aca="false">E9/E8</f>
        <v>1.73333333333333</v>
      </c>
    </row>
    <row r="13" customFormat="false" ht="18" hidden="false" customHeight="false" outlineLevel="0" collapsed="false">
      <c r="D13" s="44" t="s">
        <v>61</v>
      </c>
      <c r="E13" s="44"/>
    </row>
    <row r="14" customFormat="false" ht="18" hidden="false" customHeight="false" outlineLevel="0" collapsed="false">
      <c r="D14" s="5" t="s">
        <v>32</v>
      </c>
      <c r="E14" s="47" t="s">
        <v>62</v>
      </c>
    </row>
    <row r="15" customFormat="false" ht="18" hidden="false" customHeight="false" outlineLevel="0" collapsed="false">
      <c r="D15" s="8" t="s">
        <v>63</v>
      </c>
      <c r="E15" s="48" t="n">
        <v>500</v>
      </c>
    </row>
    <row r="16" customFormat="false" ht="18" hidden="false" customHeight="false" outlineLevel="0" collapsed="false">
      <c r="D16" s="8" t="s">
        <v>64</v>
      </c>
      <c r="E16" s="49" t="n">
        <v>100</v>
      </c>
    </row>
    <row r="17" customFormat="false" ht="18" hidden="false" customHeight="false" outlineLevel="0" collapsed="false">
      <c r="D17" s="50" t="s">
        <v>65</v>
      </c>
      <c r="E17" s="51" t="n">
        <f aca="false">E15+E16</f>
        <v>600</v>
      </c>
    </row>
    <row r="19" customFormat="false" ht="18" hidden="false" customHeight="false" outlineLevel="0" collapsed="false">
      <c r="D19" s="52" t="s">
        <v>66</v>
      </c>
      <c r="E19" s="53" t="n">
        <f aca="false">E17*E10</f>
        <v>1040</v>
      </c>
    </row>
    <row r="22" customFormat="false" ht="19.5" hidden="false" customHeight="true" outlineLevel="0" collapsed="false">
      <c r="D22" s="54" t="s">
        <v>67</v>
      </c>
      <c r="E22" s="54"/>
    </row>
    <row r="23" customFormat="false" ht="18" hidden="false" customHeight="false" outlineLevel="0" collapsed="false">
      <c r="D23" s="5" t="s">
        <v>32</v>
      </c>
      <c r="E23" s="47" t="s">
        <v>62</v>
      </c>
    </row>
    <row r="24" customFormat="false" ht="18" hidden="false" customHeight="false" outlineLevel="0" collapsed="false">
      <c r="D24" s="11" t="s">
        <v>68</v>
      </c>
      <c r="E24" s="55" t="n">
        <f aca="false">'Full Pipeline (added)'!K21</f>
        <v>15.4906</v>
      </c>
    </row>
    <row r="25" customFormat="false" ht="18" hidden="false" customHeight="false" outlineLevel="0" collapsed="false">
      <c r="D25" s="16" t="s">
        <v>69</v>
      </c>
      <c r="E25" s="56" t="n">
        <v>0</v>
      </c>
    </row>
    <row r="27" customFormat="false" ht="18" hidden="false" customHeight="false" outlineLevel="0" collapsed="false">
      <c r="D27" s="52" t="s">
        <v>70</v>
      </c>
      <c r="E27" s="53" t="n">
        <f aca="false">E24+E25</f>
        <v>15.4906</v>
      </c>
    </row>
    <row r="30" customFormat="false" ht="18" hidden="false" customHeight="false" outlineLevel="0" collapsed="false">
      <c r="D30" s="57" t="s">
        <v>71</v>
      </c>
      <c r="E30" s="58" t="n">
        <f aca="false">E19-E27</f>
        <v>1024.5094</v>
      </c>
    </row>
    <row r="31" customFormat="false" ht="18" hidden="false" customHeight="false" outlineLevel="0" collapsed="false">
      <c r="D31" s="57" t="s">
        <v>72</v>
      </c>
      <c r="E31" s="59" t="n">
        <f aca="false">E30/E19</f>
        <v>0.985105192307692</v>
      </c>
    </row>
    <row r="33" customFormat="false" ht="18" hidden="false" customHeight="false" outlineLevel="0" collapsed="false">
      <c r="D33" s="19" t="s">
        <v>73</v>
      </c>
    </row>
    <row r="34" customFormat="false" ht="18" hidden="false" customHeight="false" outlineLevel="0" collapsed="false">
      <c r="D34" s="19" t="s">
        <v>74</v>
      </c>
    </row>
  </sheetData>
  <mergeCells count="3">
    <mergeCell ref="D3:E3"/>
    <mergeCell ref="D13:E13"/>
    <mergeCell ref="D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3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50"/>
  </cols>
  <sheetData>
    <row r="1" customFormat="false" ht="17.35" hidden="false" customHeight="false" outlineLevel="0" collapsed="false"/>
    <row r="2" customFormat="false" ht="17.35" hidden="false" customHeight="false" outlineLevel="0" collapsed="false">
      <c r="B2" s="60" t="s">
        <v>75</v>
      </c>
    </row>
    <row r="3" customFormat="false" ht="17.35" hidden="false" customHeight="false" outlineLevel="0" collapsed="false">
      <c r="B3" s="19" t="s">
        <v>76</v>
      </c>
    </row>
    <row r="4" customFormat="false" ht="17.35" hidden="false" customHeight="false" outlineLevel="0" collapsed="false"/>
    <row r="5" customFormat="false" ht="17.35" hidden="false" customHeight="false" outlineLevel="0" collapsed="false">
      <c r="B5" s="61" t="s">
        <v>77</v>
      </c>
      <c r="E5" s="61" t="s">
        <v>78</v>
      </c>
    </row>
    <row r="6" customFormat="false" ht="28.35" hidden="false" customHeight="false" outlineLevel="0" collapsed="false">
      <c r="B6" s="62" t="s">
        <v>79</v>
      </c>
      <c r="C6" s="62" t="s">
        <v>80</v>
      </c>
      <c r="E6" s="62" t="s">
        <v>81</v>
      </c>
      <c r="F6" s="62" t="s">
        <v>82</v>
      </c>
      <c r="G6" s="62" t="s">
        <v>83</v>
      </c>
      <c r="H6" s="62" t="s">
        <v>84</v>
      </c>
      <c r="I6" s="62" t="s">
        <v>85</v>
      </c>
      <c r="J6" s="62" t="s">
        <v>86</v>
      </c>
      <c r="K6" s="62" t="s">
        <v>87</v>
      </c>
      <c r="L6" s="62" t="s">
        <v>88</v>
      </c>
    </row>
    <row r="7" customFormat="false" ht="31.5" hidden="false" customHeight="true" outlineLevel="0" collapsed="false">
      <c r="B7" s="63" t="s">
        <v>89</v>
      </c>
      <c r="C7" s="64" t="n">
        <v>4</v>
      </c>
      <c r="E7" s="63" t="s">
        <v>90</v>
      </c>
      <c r="F7" s="65" t="s">
        <v>16</v>
      </c>
      <c r="G7" s="64" t="n">
        <v>600</v>
      </c>
      <c r="H7" s="64" t="n">
        <v>30</v>
      </c>
      <c r="I7" s="66" t="n">
        <f aca="false">C11*Inference!$C$15</f>
        <v>7040</v>
      </c>
      <c r="J7" s="64" t="n">
        <v>1</v>
      </c>
      <c r="K7" s="67" t="n">
        <f aca="false">(G7*INDEX(Inference!$F$6:$F$8,MATCH(F7,Inference!$E$6:$E$8,0))+H7*INDEX(Inference!$G$6:$G$8,MATCH(F7,Inference!$E$6:$E$8,0)))/1000000*I7*(1-J7*$C$21)*$C$22</f>
        <v>0.264</v>
      </c>
      <c r="L7" s="63" t="s">
        <v>91</v>
      </c>
    </row>
    <row r="8" customFormat="false" ht="31.5" hidden="false" customHeight="true" outlineLevel="0" collapsed="false">
      <c r="B8" s="63" t="s">
        <v>92</v>
      </c>
      <c r="C8" s="64" t="n">
        <v>80</v>
      </c>
      <c r="E8" s="63" t="s">
        <v>93</v>
      </c>
      <c r="F8" s="65" t="s">
        <v>14</v>
      </c>
      <c r="G8" s="68" t="n">
        <f aca="false">Inference!C11</f>
        <v>3200</v>
      </c>
      <c r="H8" s="68" t="n">
        <f aca="false">Inference!C12</f>
        <v>500</v>
      </c>
      <c r="I8" s="66" t="n">
        <f aca="false">Inference!C16</f>
        <v>2288</v>
      </c>
      <c r="J8" s="64" t="n">
        <v>1</v>
      </c>
      <c r="K8" s="67" t="n">
        <f aca="false">(G8*INDEX(Inference!$F$6:$F$8,MATCH(F8,Inference!$E$6:$E$8,0))+H8*INDEX(Inference!$G$6:$G$8,MATCH(F8,Inference!$E$6:$E$8,0)))/1000000*I8*(1-J8*$C$21)*$C$22</f>
        <v>13.0416</v>
      </c>
      <c r="L8" s="63" t="s">
        <v>94</v>
      </c>
    </row>
    <row r="9" customFormat="false" ht="31.5" hidden="false" customHeight="true" outlineLevel="0" collapsed="false">
      <c r="B9" s="63" t="s">
        <v>95</v>
      </c>
      <c r="C9" s="69" t="n">
        <v>0.3</v>
      </c>
      <c r="E9" s="63" t="s">
        <v>96</v>
      </c>
      <c r="F9" s="65" t="s">
        <v>14</v>
      </c>
      <c r="G9" s="64" t="n">
        <v>1200</v>
      </c>
      <c r="H9" s="64" t="n">
        <v>300</v>
      </c>
      <c r="I9" s="66" t="n">
        <f aca="false">C15*Inference!$C$15</f>
        <v>330</v>
      </c>
      <c r="J9" s="64" t="n">
        <v>1</v>
      </c>
      <c r="K9" s="67" t="n">
        <f aca="false">(G9*INDEX(Inference!$F$6:$F$8,MATCH(F9,Inference!$E$6:$E$8,0))+H9*INDEX(Inference!$G$6:$G$8,MATCH(F9,Inference!$E$6:$E$8,0)))/1000000*I9*(1-J9*$C$21)*$C$22</f>
        <v>0.891</v>
      </c>
      <c r="L9" s="63" t="s">
        <v>97</v>
      </c>
    </row>
    <row r="10" customFormat="false" ht="31.5" hidden="false" customHeight="true" outlineLevel="0" collapsed="false">
      <c r="B10" s="63" t="s">
        <v>98</v>
      </c>
      <c r="C10" s="64" t="n">
        <v>2</v>
      </c>
      <c r="E10" s="63" t="s">
        <v>99</v>
      </c>
      <c r="F10" s="65" t="s">
        <v>16</v>
      </c>
      <c r="G10" s="64" t="n">
        <v>3000</v>
      </c>
      <c r="H10" s="64" t="n">
        <v>800</v>
      </c>
      <c r="I10" s="66" t="n">
        <f aca="false">C16*Inference!$C$15</f>
        <v>220</v>
      </c>
      <c r="J10" s="64" t="n">
        <v>0</v>
      </c>
      <c r="K10" s="67" t="n">
        <f aca="false">(G10*INDEX(Inference!$F$6:$F$8,MATCH(F10,Inference!$E$6:$E$8,0))+H10*INDEX(Inference!$G$6:$G$8,MATCH(F10,Inference!$E$6:$E$8,0)))/1000000*I10*(1-J10*$C$21)*$C$22</f>
        <v>0.154</v>
      </c>
      <c r="L10" s="63" t="s">
        <v>100</v>
      </c>
    </row>
    <row r="11" customFormat="false" ht="31.5" hidden="false" customHeight="true" outlineLevel="0" collapsed="false">
      <c r="B11" s="70" t="s">
        <v>101</v>
      </c>
      <c r="C11" s="66" t="n">
        <f aca="false">C7*C8</f>
        <v>320</v>
      </c>
      <c r="E11" s="63" t="s">
        <v>102</v>
      </c>
      <c r="F11" s="65" t="s">
        <v>14</v>
      </c>
      <c r="G11" s="68" t="n">
        <f aca="false">Inference!C11</f>
        <v>3200</v>
      </c>
      <c r="H11" s="68" t="n">
        <f aca="false">Inference!C12</f>
        <v>500</v>
      </c>
      <c r="I11" s="66" t="n">
        <f aca="false">C17*50</f>
        <v>200</v>
      </c>
      <c r="J11" s="64" t="n">
        <v>1</v>
      </c>
      <c r="K11" s="67" t="n">
        <f aca="false">(G11*INDEX(Inference!$F$6:$F$8,MATCH(F11,Inference!$E$6:$E$8,0))+H11*INDEX(Inference!$G$6:$G$8,MATCH(F11,Inference!$E$6:$E$8,0)))/1000000*I11*(1-J11*$C$21)*$C$22</f>
        <v>1.14</v>
      </c>
      <c r="L11" s="63" t="s">
        <v>103</v>
      </c>
    </row>
    <row r="12" customFormat="false" ht="17.35" hidden="false" customHeight="false" outlineLevel="0" collapsed="false">
      <c r="B12" s="70" t="s">
        <v>104</v>
      </c>
      <c r="C12" s="66" t="n">
        <f aca="false">ROUND(C11*C9,0)</f>
        <v>96</v>
      </c>
    </row>
    <row r="13" customFormat="false" ht="17.35" hidden="false" customHeight="false" outlineLevel="0" collapsed="false">
      <c r="B13" s="70" t="s">
        <v>105</v>
      </c>
      <c r="C13" s="66" t="n">
        <f aca="false">C7*C10</f>
        <v>8</v>
      </c>
    </row>
    <row r="14" customFormat="false" ht="17.35" hidden="false" customHeight="false" outlineLevel="0" collapsed="false">
      <c r="B14" s="71" t="s">
        <v>106</v>
      </c>
      <c r="C14" s="72" t="n">
        <f aca="false">C12+C13</f>
        <v>104</v>
      </c>
    </row>
    <row r="15" customFormat="false" ht="17.35" hidden="false" customHeight="false" outlineLevel="0" collapsed="false">
      <c r="B15" s="63" t="s">
        <v>107</v>
      </c>
      <c r="C15" s="64" t="n">
        <v>15</v>
      </c>
    </row>
    <row r="16" customFormat="false" ht="17.35" hidden="false" customHeight="false" outlineLevel="0" collapsed="false">
      <c r="B16" s="63" t="s">
        <v>108</v>
      </c>
      <c r="C16" s="64" t="n">
        <v>10</v>
      </c>
    </row>
    <row r="17" customFormat="false" ht="17.35" hidden="false" customHeight="false" outlineLevel="0" collapsed="false">
      <c r="B17" s="63" t="s">
        <v>109</v>
      </c>
      <c r="C17" s="64" t="n">
        <v>4</v>
      </c>
    </row>
    <row r="18" customFormat="false" ht="17.35" hidden="false" customHeight="false" outlineLevel="0" collapsed="false"/>
    <row r="19" customFormat="false" ht="17.35" hidden="false" customHeight="false" outlineLevel="0" collapsed="false">
      <c r="B19" s="63" t="s">
        <v>110</v>
      </c>
      <c r="C19" s="64" t="n">
        <v>1</v>
      </c>
    </row>
    <row r="20" customFormat="false" ht="17.35" hidden="false" customHeight="false" outlineLevel="0" collapsed="false">
      <c r="B20" s="70" t="s">
        <v>111</v>
      </c>
      <c r="C20" s="69" t="n">
        <v>0.5</v>
      </c>
    </row>
    <row r="21" customFormat="false" ht="17.35" hidden="false" customHeight="false" outlineLevel="0" collapsed="false">
      <c r="B21" s="71" t="s">
        <v>112</v>
      </c>
      <c r="C21" s="73" t="n">
        <f aca="false">C19*C20</f>
        <v>0.5</v>
      </c>
      <c r="E21" s="74" t="s">
        <v>113</v>
      </c>
      <c r="F21" s="75"/>
      <c r="G21" s="75"/>
      <c r="H21" s="75"/>
      <c r="I21" s="75"/>
      <c r="J21" s="75"/>
      <c r="K21" s="76" t="n">
        <f aca="false">SUM(K7:K11)</f>
        <v>15.4906</v>
      </c>
    </row>
    <row r="22" customFormat="false" ht="17.35" hidden="false" customHeight="false" outlineLevel="0" collapsed="false">
      <c r="B22" s="63" t="s">
        <v>114</v>
      </c>
      <c r="C22" s="77" t="n">
        <v>1</v>
      </c>
      <c r="E22" s="70" t="s">
        <v>115</v>
      </c>
      <c r="K22" s="67" t="n">
        <f aca="false">SUMPRODUCT(K7:K11/(1-J7:J11*$C$21))</f>
        <v>30.8272</v>
      </c>
    </row>
    <row r="23" customFormat="false" ht="17.35" hidden="false" customHeight="false" outlineLevel="0" collapsed="false"/>
    <row r="24" customFormat="false" ht="17.35" hidden="false" customHeight="false" outlineLevel="0" collapsed="false"/>
    <row r="25" customFormat="false" ht="17.35" hidden="false" customHeight="false" outlineLevel="0" collapsed="false">
      <c r="E25" s="61" t="s">
        <v>116</v>
      </c>
    </row>
    <row r="26" customFormat="false" ht="17.35" hidden="false" customHeight="false" outlineLevel="0" collapsed="false">
      <c r="E26" s="62" t="s">
        <v>32</v>
      </c>
      <c r="F26" s="62" t="s">
        <v>117</v>
      </c>
      <c r="G26" s="62" t="s">
        <v>118</v>
      </c>
      <c r="H26" s="62" t="s">
        <v>88</v>
      </c>
    </row>
    <row r="27" customFormat="false" ht="17.35" hidden="false" customHeight="true" outlineLevel="0" collapsed="false">
      <c r="E27" s="63" t="s">
        <v>119</v>
      </c>
      <c r="F27" s="78" t="n">
        <v>0</v>
      </c>
      <c r="G27" s="78" t="n">
        <v>20</v>
      </c>
      <c r="H27" s="63" t="s">
        <v>120</v>
      </c>
      <c r="I27" s="63"/>
      <c r="J27" s="63"/>
      <c r="K27" s="63"/>
      <c r="L27" s="63"/>
    </row>
    <row r="28" customFormat="false" ht="17.35" hidden="false" customHeight="true" outlineLevel="0" collapsed="false">
      <c r="E28" s="63" t="s">
        <v>121</v>
      </c>
      <c r="F28" s="78" t="n">
        <v>0</v>
      </c>
      <c r="G28" s="78" t="n">
        <v>25</v>
      </c>
      <c r="H28" s="63" t="s">
        <v>122</v>
      </c>
      <c r="I28" s="63"/>
      <c r="J28" s="63"/>
      <c r="K28" s="63"/>
      <c r="L28" s="63"/>
    </row>
    <row r="29" customFormat="false" ht="17.35" hidden="false" customHeight="true" outlineLevel="0" collapsed="false">
      <c r="E29" s="63" t="s">
        <v>123</v>
      </c>
      <c r="F29" s="78" t="n">
        <v>0</v>
      </c>
      <c r="G29" s="78" t="n">
        <v>0</v>
      </c>
      <c r="H29" s="63" t="s">
        <v>124</v>
      </c>
      <c r="I29" s="63"/>
      <c r="J29" s="63"/>
      <c r="K29" s="63"/>
      <c r="L29" s="63"/>
    </row>
    <row r="30" customFormat="false" ht="17.35" hidden="false" customHeight="true" outlineLevel="0" collapsed="false">
      <c r="E30" s="63" t="s">
        <v>125</v>
      </c>
      <c r="F30" s="78" t="n">
        <v>0</v>
      </c>
      <c r="G30" s="78" t="n">
        <v>0</v>
      </c>
      <c r="H30" s="63" t="s">
        <v>126</v>
      </c>
      <c r="I30" s="63"/>
      <c r="J30" s="63"/>
      <c r="K30" s="63"/>
      <c r="L30" s="63"/>
    </row>
    <row r="31" customFormat="false" ht="17.35" hidden="false" customHeight="true" outlineLevel="0" collapsed="false">
      <c r="E31" s="63" t="s">
        <v>127</v>
      </c>
      <c r="F31" s="78" t="n">
        <v>0</v>
      </c>
      <c r="G31" s="78" t="n">
        <v>0</v>
      </c>
      <c r="H31" s="63" t="s">
        <v>128</v>
      </c>
      <c r="I31" s="63"/>
      <c r="J31" s="63"/>
      <c r="K31" s="63"/>
      <c r="L31" s="63"/>
    </row>
    <row r="32" customFormat="false" ht="17.35" hidden="false" customHeight="false" outlineLevel="0" collapsed="false">
      <c r="E32" s="74" t="s">
        <v>129</v>
      </c>
      <c r="F32" s="79" t="n">
        <f aca="false">SUM(F27:F31)</f>
        <v>0</v>
      </c>
      <c r="G32" s="79" t="n">
        <f aca="false">SUM(G27:G31)</f>
        <v>45</v>
      </c>
    </row>
    <row r="33" customFormat="false" ht="17.35" hidden="false" customHeight="false" outlineLevel="0" collapsed="false"/>
    <row r="34" customFormat="false" ht="17.35" hidden="false" customHeight="false" outlineLevel="0" collapsed="false"/>
    <row r="35" customFormat="false" ht="17.35" hidden="false" customHeight="false" outlineLevel="0" collapsed="false">
      <c r="E35" s="61" t="s">
        <v>130</v>
      </c>
    </row>
    <row r="36" customFormat="false" ht="17.35" hidden="false" customHeight="false" outlineLevel="0" collapsed="false">
      <c r="E36" s="62" t="s">
        <v>131</v>
      </c>
      <c r="F36" s="62" t="s">
        <v>132</v>
      </c>
      <c r="G36" s="62" t="s">
        <v>118</v>
      </c>
    </row>
    <row r="37" customFormat="false" ht="17.35" hidden="false" customHeight="false" outlineLevel="0" collapsed="false">
      <c r="E37" s="70" t="s">
        <v>133</v>
      </c>
      <c r="F37" s="67" t="n">
        <f aca="false">K21</f>
        <v>15.4906</v>
      </c>
      <c r="G37" s="67" t="n">
        <f aca="false">K21</f>
        <v>15.4906</v>
      </c>
    </row>
    <row r="38" customFormat="false" ht="17.35" hidden="false" customHeight="false" outlineLevel="0" collapsed="false">
      <c r="E38" s="70" t="s">
        <v>134</v>
      </c>
      <c r="F38" s="67" t="n">
        <f aca="false">F32</f>
        <v>0</v>
      </c>
      <c r="G38" s="67" t="n">
        <f aca="false">G32</f>
        <v>45</v>
      </c>
    </row>
    <row r="39" customFormat="false" ht="17.35" hidden="false" customHeight="false" outlineLevel="0" collapsed="false">
      <c r="E39" s="74" t="s">
        <v>135</v>
      </c>
      <c r="F39" s="76" t="n">
        <f aca="false">F37+F38</f>
        <v>15.4906</v>
      </c>
      <c r="G39" s="76" t="n">
        <f aca="false">G37+G38</f>
        <v>60.4906</v>
      </c>
    </row>
    <row r="40" customFormat="false" ht="17.35" hidden="false" customHeight="false" outlineLevel="0" collapsed="false">
      <c r="E40" s="70" t="s">
        <v>136</v>
      </c>
      <c r="F40" s="80" t="n">
        <f aca="false">F39*12</f>
        <v>185.8872</v>
      </c>
      <c r="G40" s="80" t="n">
        <f aca="false">G39*12</f>
        <v>725.8872</v>
      </c>
    </row>
    <row r="41" customFormat="false" ht="17.35" hidden="false" customHeight="false" outlineLevel="0" collapsed="false">
      <c r="E41" s="70" t="s">
        <v>137</v>
      </c>
      <c r="F41" s="67" t="n">
        <f aca="false">F39/$C$7</f>
        <v>3.87265</v>
      </c>
      <c r="G41" s="67" t="n">
        <f aca="false">G39/$C$7</f>
        <v>15.12265</v>
      </c>
    </row>
    <row r="42" customFormat="false" ht="17.35" hidden="false" customHeight="false" outlineLevel="0" collapsed="false">
      <c r="E42" s="70" t="s">
        <v>138</v>
      </c>
      <c r="F42" s="64" t="n">
        <v>60</v>
      </c>
      <c r="G42" s="66" t="n">
        <f aca="false">F42</f>
        <v>60</v>
      </c>
    </row>
    <row r="43" customFormat="false" ht="17.35" hidden="false" customHeight="false" outlineLevel="0" collapsed="false">
      <c r="E43" s="70" t="s">
        <v>139</v>
      </c>
      <c r="F43" s="81" t="n">
        <f aca="false">F37/F42</f>
        <v>0.258176666666667</v>
      </c>
      <c r="G43" s="81" t="n">
        <f aca="false">G37/G42</f>
        <v>0.258176666666667</v>
      </c>
    </row>
    <row r="44" customFormat="false" ht="17.35" hidden="false" customHeight="false" outlineLevel="0" collapsed="false"/>
    <row r="45" customFormat="false" ht="17.35" hidden="false" customHeight="false" outlineLevel="0" collapsed="false"/>
    <row r="46" customFormat="false" ht="17.35" hidden="false" customHeight="false" outlineLevel="0" collapsed="false">
      <c r="E46" s="61" t="s">
        <v>140</v>
      </c>
    </row>
    <row r="47" customFormat="false" ht="28.35" hidden="false" customHeight="false" outlineLevel="0" collapsed="false">
      <c r="E47" s="62" t="s">
        <v>141</v>
      </c>
      <c r="F47" s="62" t="s">
        <v>142</v>
      </c>
      <c r="G47" s="62" t="s">
        <v>143</v>
      </c>
      <c r="H47" s="62" t="s">
        <v>144</v>
      </c>
    </row>
    <row r="48" customFormat="false" ht="17.35" hidden="false" customHeight="true" outlineLevel="0" collapsed="false">
      <c r="E48" s="63" t="s">
        <v>145</v>
      </c>
      <c r="F48" s="67" t="n">
        <f aca="false">K21</f>
        <v>15.4906</v>
      </c>
      <c r="G48" s="67" t="n">
        <f aca="false">F48+$G$32</f>
        <v>60.4906</v>
      </c>
      <c r="H48" s="63" t="s">
        <v>146</v>
      </c>
      <c r="I48" s="63"/>
      <c r="J48" s="63"/>
      <c r="K48" s="63"/>
      <c r="L48" s="63"/>
    </row>
    <row r="49" customFormat="false" ht="17.35" hidden="false" customHeight="true" outlineLevel="0" collapsed="false">
      <c r="E49" s="63" t="s">
        <v>147</v>
      </c>
      <c r="F49" s="67" t="n">
        <f aca="false">K22</f>
        <v>30.8272</v>
      </c>
      <c r="G49" s="67" t="n">
        <f aca="false">F49+$G$32</f>
        <v>75.8272</v>
      </c>
      <c r="H49" s="63" t="s">
        <v>148</v>
      </c>
      <c r="I49" s="63"/>
      <c r="J49" s="63"/>
      <c r="K49" s="63"/>
      <c r="L49" s="63"/>
    </row>
    <row r="50" customFormat="false" ht="17.35" hidden="false" customHeight="true" outlineLevel="0" collapsed="false">
      <c r="E50" s="63" t="s">
        <v>149</v>
      </c>
      <c r="F50" s="67" t="n">
        <f aca="false">K21*3</f>
        <v>46.4718</v>
      </c>
      <c r="G50" s="67" t="n">
        <f aca="false">F50+$G$32</f>
        <v>91.4718</v>
      </c>
      <c r="H50" s="63" t="s">
        <v>150</v>
      </c>
      <c r="I50" s="63"/>
      <c r="J50" s="63"/>
      <c r="K50" s="63"/>
      <c r="L50" s="63"/>
    </row>
    <row r="51" customFormat="false" ht="17.35" hidden="false" customHeight="true" outlineLevel="0" collapsed="false">
      <c r="E51" s="63" t="s">
        <v>151</v>
      </c>
      <c r="F51" s="67" t="n">
        <f aca="false">K21*10</f>
        <v>154.906</v>
      </c>
      <c r="G51" s="67" t="n">
        <f aca="false">F51+$G$32</f>
        <v>199.906</v>
      </c>
      <c r="H51" s="63" t="s">
        <v>152</v>
      </c>
      <c r="I51" s="63"/>
      <c r="J51" s="63"/>
      <c r="K51" s="63"/>
      <c r="L51" s="63"/>
    </row>
    <row r="52" customFormat="false" ht="17.35" hidden="false" customHeight="true" outlineLevel="0" collapsed="false">
      <c r="E52" s="63" t="s">
        <v>153</v>
      </c>
      <c r="F52" s="67" t="n">
        <f aca="false">SUMPRODUCT((G7:G11*Inference!$F$6+H7:H11*Inference!$G$6)/1000000*I7:I11*(1-J7:J11*$C$21))*$C$22</f>
        <v>46.8652</v>
      </c>
      <c r="G52" s="67" t="n">
        <f aca="false">F52+$G$32</f>
        <v>91.8652</v>
      </c>
      <c r="H52" s="63" t="s">
        <v>154</v>
      </c>
      <c r="I52" s="63"/>
      <c r="J52" s="63"/>
      <c r="K52" s="63"/>
      <c r="L52" s="63"/>
    </row>
    <row r="53" customFormat="false" ht="17.35" hidden="false" customHeight="true" outlineLevel="0" collapsed="false">
      <c r="E53" s="63" t="s">
        <v>155</v>
      </c>
      <c r="F53" s="67" t="n">
        <f aca="false">K21+(C11-C12)*Inference!$C$15*Inference!$J$7*(1-$C$21)*$C$22</f>
        <v>43.5802</v>
      </c>
      <c r="G53" s="67" t="n">
        <f aca="false">F53+$G$32</f>
        <v>88.5802</v>
      </c>
      <c r="H53" s="63" t="s">
        <v>156</v>
      </c>
      <c r="I53" s="63"/>
      <c r="J53" s="63"/>
      <c r="K53" s="63"/>
      <c r="L53" s="63"/>
    </row>
  </sheetData>
  <mergeCells count="11">
    <mergeCell ref="H27:L27"/>
    <mergeCell ref="H28:L28"/>
    <mergeCell ref="H29:L29"/>
    <mergeCell ref="H30:L30"/>
    <mergeCell ref="H31:L31"/>
    <mergeCell ref="H48:L48"/>
    <mergeCell ref="H49:L49"/>
    <mergeCell ref="H50:L50"/>
    <mergeCell ref="H51:L51"/>
    <mergeCell ref="H52:L52"/>
    <mergeCell ref="H53:L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44"/>
    <col collapsed="false" customWidth="true" hidden="false" outlineLevel="0" max="7" min="6" style="0" width="50"/>
  </cols>
  <sheetData>
    <row r="1" customFormat="false" ht="17.35" hidden="false" customHeight="false" outlineLevel="0" collapsed="false"/>
    <row r="2" customFormat="false" ht="17.35" hidden="false" customHeight="false" outlineLevel="0" collapsed="false">
      <c r="B2" s="60" t="s">
        <v>157</v>
      </c>
    </row>
    <row r="3" customFormat="false" ht="17.35" hidden="false" customHeight="false" outlineLevel="0" collapsed="false">
      <c r="B3" s="19" t="s">
        <v>158</v>
      </c>
    </row>
    <row r="4" customFormat="false" ht="17.35" hidden="false" customHeight="false" outlineLevel="0" collapsed="false"/>
    <row r="5" customFormat="false" ht="17.35" hidden="false" customHeight="false" outlineLevel="0" collapsed="false">
      <c r="B5" s="61" t="s">
        <v>159</v>
      </c>
      <c r="E5" s="61" t="s">
        <v>160</v>
      </c>
    </row>
    <row r="6" customFormat="false" ht="17.35" hidden="false" customHeight="false" outlineLevel="0" collapsed="false">
      <c r="B6" s="62" t="s">
        <v>32</v>
      </c>
      <c r="C6" s="62" t="s">
        <v>80</v>
      </c>
      <c r="E6" s="62" t="s">
        <v>161</v>
      </c>
      <c r="F6" s="62" t="s">
        <v>162</v>
      </c>
      <c r="G6" s="62" t="s">
        <v>163</v>
      </c>
    </row>
    <row r="7" customFormat="false" ht="45" hidden="false" customHeight="true" outlineLevel="0" collapsed="false">
      <c r="B7" s="63" t="s">
        <v>164</v>
      </c>
      <c r="C7" s="64" t="n">
        <v>30</v>
      </c>
      <c r="E7" s="82" t="s">
        <v>165</v>
      </c>
      <c r="F7" s="63" t="str">
        <f aca="false">"Sonnet reads "&amp;TEXT('Full Pipeline (added)'!C14,"0")&amp;" docs/day, not "&amp;TEXT('Full Pipeline (added)'!C11,"0")&amp;"; AI cost "&amp;TEXT('Full Pipeline (added)'!K21,"$0.00")&amp;" vs "&amp;TEXT('Full Pipeline (added)'!F53,"$0.00")&amp;" with no filter"</f>
        <v>Sonnet reads 104 docs/day, not 320; AI cost $15.49 vs $43.58 with no filter</v>
      </c>
      <c r="G7" s="63" t="s">
        <v>166</v>
      </c>
    </row>
    <row r="8" customFormat="false" ht="45" hidden="false" customHeight="true" outlineLevel="0" collapsed="false">
      <c r="B8" s="63" t="s">
        <v>167</v>
      </c>
      <c r="C8" s="64" t="n">
        <v>5</v>
      </c>
      <c r="E8" s="82" t="s">
        <v>168</v>
      </c>
      <c r="F8" s="63" t="str">
        <f aca="false">"All-Opus would cost "&amp;TEXT('Full Pipeline (added)'!F52,"$0.00")&amp;" a month"</f>
        <v>All-Opus would cost $46.87 a month</v>
      </c>
      <c r="G8" s="63" t="s">
        <v>169</v>
      </c>
    </row>
    <row r="9" customFormat="false" ht="45" hidden="false" customHeight="true" outlineLevel="0" collapsed="false">
      <c r="B9" s="63" t="s">
        <v>170</v>
      </c>
      <c r="C9" s="83" t="n">
        <f aca="false">(C7-C8)*'Full Pipeline (added)'!C7*Inference!C15/60</f>
        <v>36.6666666666667</v>
      </c>
      <c r="E9" s="82" t="s">
        <v>171</v>
      </c>
      <c r="F9" s="63" t="str">
        <f aca="false">"Saves "&amp;TEXT('Full Pipeline (added)'!K22-'Full Pipeline (added)'!K21,"$0.00")&amp;" a month (50%)"</f>
        <v>Saves $15.34 a month (50%)</v>
      </c>
      <c r="G9" s="63" t="s">
        <v>172</v>
      </c>
    </row>
    <row r="10" customFormat="false" ht="45" hidden="false" customHeight="true" outlineLevel="0" collapsed="false">
      <c r="B10" s="63" t="s">
        <v>173</v>
      </c>
      <c r="C10" s="84" t="n">
        <v>1.75</v>
      </c>
      <c r="E10" s="82" t="s">
        <v>174</v>
      </c>
      <c r="F10" s="63" t="s">
        <v>175</v>
      </c>
      <c r="G10" s="63" t="s">
        <v>176</v>
      </c>
    </row>
    <row r="11" customFormat="false" ht="45" hidden="false" customHeight="true" outlineLevel="0" collapsed="false">
      <c r="B11" s="63" t="s">
        <v>177</v>
      </c>
      <c r="C11" s="78" t="n">
        <v>40</v>
      </c>
      <c r="E11" s="82" t="s">
        <v>178</v>
      </c>
      <c r="F11" s="63" t="s">
        <v>179</v>
      </c>
      <c r="G11" s="63" t="s">
        <v>180</v>
      </c>
    </row>
    <row r="12" customFormat="false" ht="45" hidden="false" customHeight="true" outlineLevel="0" collapsed="false">
      <c r="B12" s="63" t="s">
        <v>181</v>
      </c>
      <c r="C12" s="79" t="n">
        <f aca="false">(C9+C10)*C11</f>
        <v>1536.66666666667</v>
      </c>
      <c r="E12" s="82" t="s">
        <v>182</v>
      </c>
      <c r="F12" s="63" t="s">
        <v>183</v>
      </c>
      <c r="G12" s="63" t="s">
        <v>184</v>
      </c>
    </row>
    <row r="13" customFormat="false" ht="45" hidden="false" customHeight="true" outlineLevel="0" collapsed="false">
      <c r="E13" s="82" t="s">
        <v>185</v>
      </c>
      <c r="F13" s="63" t="str">
        <f aca="false">"Evals cost "&amp;TEXT('Full Pipeline (added)'!K11,"$0.00")&amp;" a month"</f>
        <v>Evals cost $1.14 a month</v>
      </c>
      <c r="G13" s="63" t="s">
        <v>186</v>
      </c>
    </row>
    <row r="14" customFormat="false" ht="17.35" hidden="false" customHeight="false" outlineLevel="0" collapsed="false"/>
    <row r="15" customFormat="false" ht="36" hidden="false" customHeight="true" outlineLevel="0" collapsed="false">
      <c r="B15" s="61" t="s">
        <v>187</v>
      </c>
      <c r="E15" s="74" t="s">
        <v>188</v>
      </c>
      <c r="F15" s="85" t="str">
        <f aca="false">"About "&amp;TEXT('Full Pipeline (added)'!G39,"$0")&amp;" a month in production ("&amp;TEXT('Full Pipeline (added)'!K21,"$0.00")&amp;" of it AI): "&amp;TEXT('Full Pipeline (added)'!G41,"$0.00")&amp;" per seller, against $15,000 for even the smallest deal at risk."</f>
        <v>About $60 a month in production ($15.49 of it AI): $15.12 per seller, against $15,000 for even the smallest deal at risk.</v>
      </c>
      <c r="G15" s="85"/>
    </row>
    <row r="16" customFormat="false" ht="17.35" hidden="false" customHeight="false" outlineLevel="0" collapsed="false">
      <c r="B16" s="62" t="s">
        <v>32</v>
      </c>
      <c r="C16" s="62" t="s">
        <v>80</v>
      </c>
    </row>
    <row r="17" customFormat="false" ht="17.35" hidden="false" customHeight="false" outlineLevel="0" collapsed="false">
      <c r="B17" s="63" t="s">
        <v>189</v>
      </c>
      <c r="C17" s="78" t="n">
        <v>423000</v>
      </c>
    </row>
    <row r="18" customFormat="false" ht="17.35" hidden="false" customHeight="false" outlineLevel="0" collapsed="false">
      <c r="B18" s="63" t="s">
        <v>190</v>
      </c>
      <c r="C18" s="69" t="n">
        <v>0.3</v>
      </c>
    </row>
    <row r="19" customFormat="false" ht="17.35" hidden="false" customHeight="false" outlineLevel="0" collapsed="false">
      <c r="B19" s="63" t="s">
        <v>191</v>
      </c>
      <c r="C19" s="69" t="n">
        <v>0.25</v>
      </c>
    </row>
    <row r="20" customFormat="false" ht="17.35" hidden="false" customHeight="false" outlineLevel="0" collapsed="false">
      <c r="B20" s="63" t="s">
        <v>192</v>
      </c>
      <c r="C20" s="80" t="n">
        <f aca="false">C17*C18*C19</f>
        <v>31725</v>
      </c>
    </row>
    <row r="21" customFormat="false" ht="17.35" hidden="false" customHeight="false" outlineLevel="0" collapsed="false">
      <c r="B21" s="63" t="s">
        <v>193</v>
      </c>
      <c r="C21" s="69" t="n">
        <v>0.4</v>
      </c>
    </row>
    <row r="22" customFormat="false" ht="17.35" hidden="false" customHeight="false" outlineLevel="0" collapsed="false">
      <c r="B22" s="63" t="s">
        <v>194</v>
      </c>
      <c r="C22" s="79" t="n">
        <f aca="false">C20*C21/3</f>
        <v>4230</v>
      </c>
    </row>
    <row r="23" customFormat="false" ht="17.35" hidden="false" customHeight="false" outlineLevel="0" collapsed="false"/>
    <row r="24" customFormat="false" ht="17.35" hidden="false" customHeight="false" outlineLevel="0" collapsed="false"/>
    <row r="25" customFormat="false" ht="17.35" hidden="false" customHeight="false" outlineLevel="0" collapsed="false">
      <c r="B25" s="61" t="s">
        <v>195</v>
      </c>
    </row>
    <row r="26" customFormat="false" ht="17.35" hidden="false" customHeight="false" outlineLevel="0" collapsed="false">
      <c r="B26" s="62" t="s">
        <v>32</v>
      </c>
      <c r="C26" s="62" t="s">
        <v>196</v>
      </c>
    </row>
    <row r="27" customFormat="false" ht="17.35" hidden="false" customHeight="false" outlineLevel="0" collapsed="false">
      <c r="B27" s="70" t="s">
        <v>197</v>
      </c>
      <c r="C27" s="86" t="n">
        <f aca="false">'Full Pipeline (added)'!G39</f>
        <v>60.4906</v>
      </c>
    </row>
    <row r="28" customFormat="false" ht="17.35" hidden="false" customHeight="false" outlineLevel="0" collapsed="false">
      <c r="B28" s="70" t="s">
        <v>198</v>
      </c>
      <c r="C28" s="87" t="n">
        <f aca="false">'Cost Savings'!E19</f>
        <v>1040</v>
      </c>
    </row>
    <row r="29" customFormat="false" ht="17.35" hidden="false" customHeight="false" outlineLevel="0" collapsed="false">
      <c r="B29" s="70" t="s">
        <v>199</v>
      </c>
      <c r="C29" s="80" t="n">
        <f aca="false">C12</f>
        <v>1536.66666666667</v>
      </c>
    </row>
    <row r="30" customFormat="false" ht="17.35" hidden="false" customHeight="false" outlineLevel="0" collapsed="false">
      <c r="B30" s="70" t="s">
        <v>200</v>
      </c>
      <c r="C30" s="80" t="n">
        <f aca="false">C22</f>
        <v>4230</v>
      </c>
    </row>
    <row r="31" customFormat="false" ht="17.35" hidden="false" customHeight="false" outlineLevel="0" collapsed="false">
      <c r="B31" s="74" t="s">
        <v>201</v>
      </c>
      <c r="C31" s="88" t="n">
        <f aca="false">(C29+C30)/C27</f>
        <v>95.331616262141</v>
      </c>
    </row>
  </sheetData>
  <mergeCells count="1">
    <mergeCell ref="F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2026-09-12T10:38:39Z</dcterms:created>
  <dc:creator>Aakash  Pardeshi</dc:creator>
  <dc:description/>
  <dc:language>en-US</dc:language>
  <cp:lastModifiedBy>TSG Quality Specialist</cp:lastModifiedBy>
  <dcterms:modified xsi:type="dcterms:W3CDTF">2026-10-11T14:55:46Z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