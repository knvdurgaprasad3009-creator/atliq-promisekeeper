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blem Discovery-User Research" sheetId="1" state="visible" r:id="rId3"/>
    <sheet name="Prioritized Problems" sheetId="2" state="visible" r:id="rId4"/>
    <sheet name="Jobs to Be Done" sheetId="3" state="visible" r:id="rId5"/>
    <sheet name="Mom Test" sheetId="4" state="visible" r:id="rId6"/>
    <sheet name="Evidence Matrix" sheetId="5" state="visible" r:id="rId7"/>
    <sheet name="Pipeline at Risk" sheetId="6" state="visible" r:id="rId8"/>
    <sheet name="Stakeholders &amp; Data"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<sst xmlns="http://schemas.openxmlformats.org/spreadsheetml/2006/main" count="429" uniqueCount="384">
  <si>
    <t xml:space="preserve">CAPSTONE -  PROBLEM DISCOVERY &amp; USER RESEARCH | Codebasics | AI PM Cohort</t>
  </si>
  <si>
    <t xml:space="preserve">PAIN POINT</t>
  </si>
  <si>
    <t xml:space="preserve">Karandeep — CEO &amp; founder-seller, AtliQ Technologies (also represents founders Bhavin &amp; Dhaval)</t>
  </si>
  <si>
    <t xml:space="preserve">Deals AtliQ has already earned are slipping away: what we promise clients, and what they ask of us, lives in inboxes and scribbles that no system tracks, so nothing reminds us until the client chases, or walks.</t>
  </si>
  <si>
    <t xml:space="preserve">A)  PERSONA</t>
  </si>
  <si>
    <t xml:space="preserve">What would you want to know about the persona before building anything? </t>
  </si>
  <si>
    <t xml:space="preserve">Goal</t>
  </si>
  <si>
    <t xml:space="preserve">Close more of the pipeline AtliQ has already earned (referrals, returning clients, proposals in flight) without hiring a sales-ops team.</t>
  </si>
  <si>
    <t xml:space="preserve">Know every morning, in minutes, which deals need him today and exactly what he owes each client.</t>
  </si>
  <si>
    <t xml:space="preserve">Keep selling while running the company: time goes into client conversations, not admin.</t>
  </si>
  <si>
    <t xml:space="preserve">Pain Points</t>
  </si>
  <si>
    <t xml:space="preserve">Promises made by email are never tracked, so they are missed: case studies to ByteBridge, references to CloudNine, a TCO comparison to VoltEnergy.</t>
  </si>
  <si>
    <t xml:space="preserve">Urgency is found by accident: the HealthFirst board date (14 Jul) surfaced only when he searched his inbox mid-meeting.</t>
  </si>
  <si>
    <t xml:space="preserve">The CRM cannot be trusted: 0 of 40 records have a next follow-up date, statuses contradict reality (Kaveri 'Lost' but buying again), and live leads are missing entirely.</t>
  </si>
  <si>
    <t xml:space="preserve">Behaviour</t>
  </si>
  <si>
    <t xml:space="preserve">Sells from his phone between meetings and on the road; replies fast, but is rarely at a laptop to log anything.</t>
  </si>
  <si>
    <t xml:space="preserve">Relies on memory and inbox search; the CRM gets thin notes days later, usually entered by Jay on his behalf.</t>
  </si>
  <si>
    <t xml:space="preserve">Prioritises whoever chases loudest; the full pipeline picture is only assembled once a month, by hand (~2 hrs of Jay's time).</t>
  </si>
  <si>
    <t xml:space="preserve">Success Metric</t>
  </si>
  <si>
    <t xml:space="preserve">Zero client deadlines missed (SOWs, board dates, questionnaires): every dated commitment surfaced at least 3 days ahead.</t>
  </si>
  <si>
    <t xml:space="preserve">Every client request gets a reply or a named owner within 2 business days (today FinEdge and Meridian have waited 3+ weeks).</t>
  </si>
  <si>
    <t xml:space="preserve">Under 5 minutes a day to know 'what needs me today'; pipeline-review prep drops from ~2 hrs to near zero.</t>
  </si>
  <si>
    <t xml:space="preserve">B)  EMPATHY MAP  —  What Karandeep (and his co-founders)…</t>
  </si>
  <si>
    <t xml:space="preserve">What would you want to know before building anything?</t>
  </si>
  <si>
    <t xml:space="preserve">THINKS</t>
  </si>
  <si>
    <t xml:space="preserve">FEELS</t>
  </si>
  <si>
    <t xml:space="preserve">• "The leads are there. We're losing deals we already earned the right to."
• "I'm sure I promised someone something this week… but who?"
• "The CRM is admin. My job is the client."
• "If I don't remember it, nobody will."
• "Our pipeline numbers don't feel right."</t>
  </si>
  <si>
    <t xml:space="preserve">• Anxious and guilty when a client has to chase (FreshCart: "never got that call").
• Embarrassed: Meridian's Sanjay was pitched by two AtliQ people who didn't know about each other.
• Overloaded: selling and operating at the same time, with no buffer.
• Frustrated: the team made the same 'update the CRM same-day' pledge in April and again in July.
• Distrustful of the CRM, so he doesn't open it.</t>
  </si>
  <si>
    <t xml:space="preserve">SAYS</t>
  </si>
  <si>
    <t xml:space="preserve">DOES</t>
  </si>
  <si>
    <t xml:space="preserve">• "I answer emails on my phone between meetings and it never gets into the system. By the time I'm at a laptop it's gone."
• "We find out what's urgent by accident."
• "Half of these will go cold before we get to them. Happens every conference."
• Dhaval: "That one's on me." (Sunrise Foods v2)  /  "I'll forget half of it by next week." (MiraHealth)</t>
  </si>
  <si>
    <t xml:space="preserve">• Replies "will send by Friday" or "I'll set up a call when I'm back", then the thread drops.
• Forwards emails to Jay asking him to "put this in the CRM".
• Searches his inbox live during meetings to find deadlines.
• Leaves conference business cards in a drawer (~15 collected at TechSummit, 4 entered).
• Agrees to same-day CRM updates in every review, and then doesn't do them.</t>
  </si>
  <si>
    <t xml:space="preserve">C)  5 WHYS</t>
  </si>
  <si>
    <t xml:space="preserve">Ask “why” five times — dig from the symptom down to the root cause.</t>
  </si>
  <si>
    <t xml:space="preserve">Why #1</t>
  </si>
  <si>
    <t xml:space="preserve">Why is AtliQ losing deals and revenue it should be winning? (The surface complaint: 'our CRM is a mess.')</t>
  </si>
  <si>
    <t xml:space="preserve">Possible Answer:</t>
  </si>
  <si>
    <t xml:space="preserve">Because follow-ups slip. Client requests and our own promises go unanswered for weeks: FinEdge ($95k) silent 3 weeks after compliance cleared, Meridian's proposal questions unanswered since 16 Jun, and the FreshCart referral now comparing two other vendors.</t>
  </si>
  <si>
    <t xml:space="preserve">Why #2</t>
  </si>
  <si>
    <t xml:space="preserve">Why do follow-ups slip when the founders clearly care about these deals?</t>
  </si>
  <si>
    <t xml:space="preserve">Because nobody has a reliable view of what is owed, by whom, and by when. The CRM shows none of it: next_followup_date is blank on all 40 records, 13 have no last-contact date, and statuses are stale.</t>
  </si>
  <si>
    <t xml:space="preserve">Why #3</t>
  </si>
  <si>
    <t xml:space="preserve">Why doesn't the CRM hold that information?</t>
  </si>
  <si>
    <t xml:space="preserve">Because it depends on sellers typing it in after the fact, and the founders sell from their phones between meetings while also running the company. Logging always loses to the next meeting.</t>
  </si>
  <si>
    <t xml:space="preserve">Why #4</t>
  </si>
  <si>
    <t xml:space="preserve">Why hasn't fixing the discipline ('everyone updates the CRM same-day') worked?</t>
  </si>
  <si>
    <t xml:space="preserve">Because the information is created in conversation (an email reply, a call, a scribble), and capturing it is a second, unrewarded task. The team made the same pledge in April and again in July; behaviour did not change.</t>
  </si>
  <si>
    <t xml:space="preserve">Why #5</t>
  </si>
  <si>
    <t xml:space="preserve">Why does that leave the team with no shared memory at all?</t>
  </si>
  <si>
    <t xml:space="preserve">Because the CRM is built to record entities (lead, status, value), not commitments (what we promised, what the client asked for, and by when). And because nothing records the commitment, nothing assigns it an owner: the 7 Jul prioritisation meeting ended with 'no owners assigned', the NovaPharma questionnaire has no owner, and 5 leads have none. Commitments and buying signals exist only as free text across email, notes and memory, so no person or system holds the team's working memory.</t>
  </si>
  <si>
    <t xml:space="preserve">ACTUAL PROBLEM STATEMENT  (ROOT CAUSE)</t>
  </si>
  <si>
    <t xml:space="preserve">AtliQ's founder-sellers make and receive commitments in conversations (email, calls, meeting notes) that no system captures. Promises, client deadlines and buying signals therefore live only in individual memory and inboxes, with no owner attached, and the CRM depends on manual entry that founder-sellers will never have time for. The team cannot see what is owed, to whom, by when, or who owns it.</t>
  </si>
  <si>
    <t xml:space="preserve">In one line: AtliQ doesn't have a lead problem or a discipline problem. It has a memory problem: revenue leaks because commitments die in inboxes. As of 10 Jul 2026, $423k+ of open pipeline has an unanswered client or a deadline within ~3 weeks. This is value at risk, not value already lost (see 'Pipeline at Risk').</t>
  </si>
  <si>
    <t xml:space="preserve">PROPOSED SOLUTION</t>
  </si>
  <si>
    <t xml:space="preserve">AtliQ PromiseKeeper ("Every client promise, kept."): an AI assistant that reads the team's emails, meeting notes and CRM; extracts every commitment, client deadline and buying signal (cross-sell, revisit, referral), each with a citation to its source and a suggested owner; and gives every seller a 2-minute, phone-friendly daily brief ('what you owe, what's at risk, what's new'), ranked by deadline and deal value.</t>
  </si>
  <si>
    <t xml:space="preserve">Zero data entry and a human in the loop: it proposes CRM fixes (stale status, missing lead, duplicate, missing owner, follow-up date) for one-tap approval. It never writes to the CRM or emails a client on its own. Every item links to its source; when evidence is unclear (e.g. an ambiguous contact) it asks instead of guessing. AI only where it's needed: the AI reads free text (e.g. 'push in July after their board meet') and extracts commitments; simple, visible rules handle dates, ranking and reminders.</t>
  </si>
  <si>
    <t xml:space="preserve">PRIORITIZED PROBLEMS  —  ranked by revenue impact (dataset 'today' = 10 Jul 2026)</t>
  </si>
  <si>
    <t xml:space="preserve">Ranking logic: P0 = revenue in the current pipeline is at risk now; P1 = revenue that is cheap to win but being left on the table; P2 = cost, efficiency and trust problems that amplify P0/P1; P3 = later. Evidence level: 'Observed' = directly visible in the dataset; 'Inference' = our reasonable reading, to validate with real users.</t>
  </si>
  <si>
    <t xml:space="preserve">Rank</t>
  </si>
  <si>
    <t xml:space="preserve">Tier</t>
  </si>
  <si>
    <t xml:space="preserve">Problem</t>
  </si>
  <si>
    <t xml:space="preserve">How it costs money</t>
  </si>
  <si>
    <t xml:space="preserve">Evidence from the dataset</t>
  </si>
  <si>
    <t xml:space="preserve">Evidence level</t>
  </si>
  <si>
    <t xml:space="preserve">PromiseKeeper response</t>
  </si>
  <si>
    <t xml:space="preserve">Scope</t>
  </si>
  <si>
    <t xml:space="preserve">1</t>
  </si>
  <si>
    <t xml:space="preserve">P0</t>
  </si>
  <si>
    <t xml:space="preserve">Client deadlines and requests on active deals go unanswered</t>
  </si>
  <si>
    <t xml:space="preserve">Bookings slip a quarter or a year, or go to a competitor, in the current quarter.</t>
  </si>
  <si>
    <t xml:space="preserve">9 valued deals ($423k) have an unanswered client or a deadline within ~3 weeks: FinEdge $95k (commercial call unconfirmed 3 wks), NovaPharma $80k (questionnaire due 24 Jul), ShopSwift $55k (SOW by 15 Jul), Meridian $45k (questions unanswered since 16 Jun), and others.</t>
  </si>
  <si>
    <t xml:space="preserve">Observed</t>
  </si>
  <si>
    <t xml:space="preserve">Extract client-stated deadlines and unanswered requests; show days remaining in the daily brief.</t>
  </si>
  <si>
    <t xml:space="preserve">MVP</t>
  </si>
  <si>
    <t xml:space="preserve">2</t>
  </si>
  <si>
    <t xml:space="preserve">AtliQ's own promises are not kept</t>
  </si>
  <si>
    <t xml:space="preserve">Erodes trust at the decision moment; hands the deal to a cheaper or faster competitor.</t>
  </si>
  <si>
    <t xml:space="preserve">13 promises made by AtliQ and not kept, incl. ByteBridge case studies 'by Friday' (competitor 15% cheaper), CloudNine references (client comparing a rival), GlobalMart phasing reply 'by Friday' (20% price gap open), Zenlytics invite, Northwind samples, Acme scope note, FreshCart call, Sunrise call.</t>
  </si>
  <si>
    <t xml:space="preserve">Detect 'I'll send / I'll call / by Friday' in sent mail and notes; remind the owner before the date.</t>
  </si>
  <si>
    <t xml:space="preserve">3</t>
  </si>
  <si>
    <t xml:space="preserve">Warm leads and referrals never reach the CRM or get a reply</t>
  </si>
  <si>
    <t xml:space="preserve">AtliQ's best-converting source is wasted: every one of its 5 won deals came from a referral.</t>
  </si>
  <si>
    <t xml:space="preserve">Referral-sourced leads: 5 of 12 Won; every other source: 0 Won. Yet Harbor &amp; Finch (FinEdge referral) and Nimbus Lending (PayTrack referral) are unanswered and not in the CRM; Citywide referral has no owner; PixelWorks offers 3–4 projects/quarter; Ridgeline left no contact details; ~10 TechSummit cards not entered.</t>
  </si>
  <si>
    <t xml:space="preserve">Detect new contacts and intros in email/notes; propose a CRM record (with referrer) for one-tap approval.</t>
  </si>
  <si>
    <t xml:space="preserve">4</t>
  </si>
  <si>
    <t xml:space="preserve">P1</t>
  </si>
  <si>
    <t xml:space="preserve">Expansion and cross-sell signals from happy clients are ignored</t>
  </si>
  <si>
    <t xml:space="preserve">The cheapest revenue there is (existing trust, no acquisition cost) is left on the table.</t>
  </si>
  <si>
    <t xml:space="preserve">6 existing clients signalled new work: Acme (board-pack automation + forecasting), GlobalMart (demand forecasting), Northwind (dashboards), Sunrise (portal v2 + sales dashboard), PayTrack (merchant-risk module), DataNest (3rd engineer). None logged as an opportunity.</t>
  </si>
  <si>
    <t xml:space="preserve">Tag expansion signals in client mail with a quote; surface in the brief as 'new opportunity?' for the account owner.</t>
  </si>
  <si>
    <t xml:space="preserve">5</t>
  </si>
  <si>
    <t xml:space="preserve">Lost and deferred deals are never revisited</t>
  </si>
  <si>
    <t xml:space="preserve">Revivable pipeline goes to whoever is in touch when the client is ready.</t>
  </si>
  <si>
    <t xml:space="preserve">Kaveri and ClearPath came back on their own and are still marked 'Lost'. Quantia ($60k) said 'check back Q2 2026'; nobody did. ClearPath alone is $40k with 'strongest proposal of the three'.</t>
  </si>
  <si>
    <t xml:space="preserve">Extract check-back dates from lost-deal threads; flag 'Lost but active' records for a status fix.</t>
  </si>
  <si>
    <t xml:space="preserve">6</t>
  </si>
  <si>
    <t xml:space="preserve">Nobody owns the next action</t>
  </si>
  <si>
    <t xml:space="preserve">Work that belongs to everyone gets done by no one; deadlines pass by default.</t>
  </si>
  <si>
    <t xml:space="preserve">7 Jul meeting: 'No owners assigned by end of meeting.' NovaPharma questionnaire: 'Who owns it? (Unresolved)'. 5 CRM leads with no owner. Forwards to Pranav/Ayush stall.</t>
  </si>
  <si>
    <t xml:space="preserve">Every brief item carries a suggested owner (record owner, or sender of the promise); unowned items are flagged.</t>
  </si>
  <si>
    <t xml:space="preserve">7</t>
  </si>
  <si>
    <t xml:space="preserve">P2</t>
  </si>
  <si>
    <t xml:space="preserve">The CRM cannot be trusted (stale, incomplete, duplicated)</t>
  </si>
  <si>
    <t xml:space="preserve">Bad prioritisation, ~2 hrs/month of manual reconciliation, and visible disarray to clients.</t>
  </si>
  <si>
    <t xml:space="preserve">0/40 records have a next follow-up date; 21/40 no value; 2 duplicate pairs (Meridian, GlobalMart); Sanjay pitched by two AtliQ sellers ('Awkward'). Jay spent ~2 hrs reconciling before the 2 Jul review and still found gaps.</t>
  </si>
  <si>
    <t xml:space="preserve">Propose CRM fixes (status, follow-up date, owner, merge) with source links; a human approves each one.</t>
  </si>
  <si>
    <t xml:space="preserve">8</t>
  </si>
  <si>
    <t xml:space="preserve">No daily view of what matters most</t>
  </si>
  <si>
    <t xml:space="preserve">Selling time goes to whoever chases loudest, not to the biggest or most urgent deal.</t>
  </si>
  <si>
    <t xml:space="preserve">'We find out what's urgent by accident.' The 7 Jul meeting was an argument over which of 5 deals to work first.</t>
  </si>
  <si>
    <t xml:space="preserve">Rank brief items with simple, visible rules (deadline proximity × deal value × relationship type), with the reason shown.</t>
  </si>
  <si>
    <t xml:space="preserve">9</t>
  </si>
  <si>
    <t xml:space="preserve">P3</t>
  </si>
  <si>
    <t xml:space="preserve">Account knowledge lives in individual heads</t>
  </si>
  <si>
    <t xml:space="preserve">Slower call prep, risk when someone is travelling or leaves, contradictory messages to clients.</t>
  </si>
  <si>
    <t xml:space="preserve">Dhaval: 'I'll forget half of it by next week.' Jay didn't know Bhavin's Meridian proposal existed. Upcoming calls (Citywide 13 Jul, OceanFreight 14 Jul) need context.</t>
  </si>
  <si>
    <t xml:space="preserve">Partly inference</t>
  </si>
  <si>
    <t xml:space="preserve">Ask-the-account: a cited history and open commitments before a call.</t>
  </si>
  <si>
    <t xml:space="preserve">Later (v2)</t>
  </si>
  <si>
    <t xml:space="preserve">JOBS TO BE DONE  —  what the founder-sellers are actually trying to get done</t>
  </si>
  <si>
    <t xml:space="preserve">Format: When [situation], help me [job], so that [outcome]. Triggers and workarounds are taken from the dataset; outcome metrics feed the PRD's North Star &amp; Metrics section.</t>
  </si>
  <si>
    <t xml:space="preserve">Job</t>
  </si>
  <si>
    <t xml:space="preserve">JTBD statement</t>
  </si>
  <si>
    <t xml:space="preserve">Real trigger in the dataset</t>
  </si>
  <si>
    <t xml:space="preserve">Today's workaround</t>
  </si>
  <si>
    <t xml:space="preserve">Outcome metric</t>
  </si>
  <si>
    <t xml:space="preserve">1. Keep my promises</t>
  </si>
  <si>
    <t xml:space="preserve">When I tell a client "I'll send it by Friday" from my phone between meetings, help me get reminded before it's due, so that clients never have to chase me.</t>
  </si>
  <si>
    <t xml:space="preserve">ByteBridge case studies, CloudNine references, Northwind samples, Zenlytics invite.</t>
  </si>
  <si>
    <t xml:space="preserve">Memory. Nothing tracks it.</t>
  </si>
  <si>
    <t xml:space="preserve">% of AtliQ commitments met by the stated date.</t>
  </si>
  <si>
    <t xml:space="preserve">MVP (core)</t>
  </si>
  <si>
    <t xml:space="preserve">2. Never miss a client deadline</t>
  </si>
  <si>
    <t xml:space="preserve">When a client mentions a date that matters to them (board meeting, SOW cut-off, questionnaire due), help me see it with days remaining, so that I act before the window closes.</t>
  </si>
  <si>
    <t xml:space="preserve">ShopSwift SOW 15 Jul; HealthFirst board 14 Jul; NovaPharma questionnaire 24 Jul.</t>
  </si>
  <si>
    <t xml:space="preserve">Searching the inbox during meetings.</t>
  </si>
  <si>
    <t xml:space="preserve">% of client deadlines surfaced ≥3 days ahead.</t>
  </si>
  <si>
    <t xml:space="preserve">3. Capture leads without typing</t>
  </si>
  <si>
    <t xml:space="preserve">When a lead reaches me by an email intro, a phone call or at a conference, help me get it into the CRM with its context in one tap, so that it doesn't go cold.</t>
  </si>
  <si>
    <t xml:space="preserve">Harbor &amp; Finch and Nimbus intros; Ridgeline phone call; ~10 TechSummit cards.</t>
  </si>
  <si>
    <t xml:space="preserve">Forward to Jay; cards in a drawer.</t>
  </si>
  <si>
    <t xml:space="preserve">% of new leads in the CRM within 1 business day.</t>
  </si>
  <si>
    <t xml:space="preserve">4. Grow existing accounts</t>
  </si>
  <si>
    <t xml:space="preserve">When a happy client mentions another problem in passing, help me notice it and log it as an opportunity, so that we follow up while the trust is warm.</t>
  </si>
  <si>
    <t xml:space="preserve">Acme forecasting, GlobalMart demand forecasting, Northwind dashboards, PayTrack merchant risk.</t>
  </si>
  <si>
    <t xml:space="preserve">None. Signals stay in the thread.</t>
  </si>
  <si>
    <t xml:space="preserve">Expansion signals logged and followed up within 5 days.</t>
  </si>
  <si>
    <t xml:space="preserve">5. Come back at the right time</t>
  </si>
  <si>
    <t xml:space="preserve">When a prospect says "not now, check back in Q2", or a lost deal reaches out again, help me reopen at the right time with the history in hand, so that we win the second chance.</t>
  </si>
  <si>
    <t xml:space="preserve">Quantia (Q2 check-back), ClearPath (budget unfrozen), Kaveri (vendor failed).</t>
  </si>
  <si>
    <t xml:space="preserve">A free-text note on a 'Lost' record.</t>
  </si>
  <si>
    <t xml:space="preserve">% of revisits completed on their due date.</t>
  </si>
  <si>
    <t xml:space="preserve">6. Know what needs me today</t>
  </si>
  <si>
    <t xml:space="preserve">When I have ten minutes between meetings, help me see the few deals that need me, ranked and with the reason, so that my selling time goes where it matters.</t>
  </si>
  <si>
    <t xml:space="preserve">7 Jul ad-hoc meeting arguing over FinEdge, NovaPharma, ShopSwift, Meridian, HealthFirst.</t>
  </si>
  <si>
    <t xml:space="preserve">Debate in meetings; whoever chases loudest.</t>
  </si>
  <si>
    <t xml:space="preserve">&lt; 5 min/day to know priorities; % of brief items acted on.</t>
  </si>
  <si>
    <t xml:space="preserve">7. Walk into a call prepared</t>
  </si>
  <si>
    <t xml:space="preserve">When I'm about to speak to a client, give me a cited summary of our history and open commitments, so that I don't forget a promise or contradict a colleague.</t>
  </si>
  <si>
    <t xml:space="preserve">Meridian pitched twice; Citywide call 13 Jul; OceanFreight call 14 Jul.</t>
  </si>
  <si>
    <t xml:space="preserve">Ask Jay; search the inbox.</t>
  </si>
  <si>
    <t xml:space="preserve">Prep time per call; zero duplicate pitches.</t>
  </si>
  <si>
    <t xml:space="preserve">MOM TEST  —  questions about past behaviour, answered from the dataset</t>
  </si>
  <si>
    <t xml:space="preserve">We cannot interview AtliQ directly, so the emails and meeting notes stand in as observed past behaviour, which is exactly what the Mom Test asks for (facts about what people did, not opinions about what they'd like). Questions avoid leading with the solution (no 'would you use an AI CRM?'). The final rows are open questions to validate with real users.</t>
  </si>
  <si>
    <t xml:space="preserve">Theme</t>
  </si>
  <si>
    <t xml:space="preserve">Mom Test question (past behaviour, non-leading)</t>
  </si>
  <si>
    <t xml:space="preserve">What the dataset shows (the 'answer')</t>
  </si>
  <si>
    <t xml:space="preserve">Source</t>
  </si>
  <si>
    <t xml:space="preserve">Insight</t>
  </si>
  <si>
    <t xml:space="preserve">Lead arrival</t>
  </si>
  <si>
    <t xml:space="preserve">Tell me about the last qualified prospect who contacted you. How did it reach you, and what happened next?</t>
  </si>
  <si>
    <t xml:space="preserve">Nimbus Lending: intro from PayTrack's Shreya on 5 Jul; Rhea replied 6 Jul (4,000 loans/month, budget talks week of 20 Jul). No reply by 10 Jul; not in CRM.</t>
  </si>
  <si>
    <t xml:space="preserve">emails/2026-07-05_nimbus_lending_intro.md</t>
  </si>
  <si>
    <t xml:space="preserve">Warm intros arrive by email and stop there.</t>
  </si>
  <si>
    <t xml:space="preserve">After the proposal</t>
  </si>
  <si>
    <t xml:space="preserve">Walk me through the last proposal you sent. What happened afterward?</t>
  </si>
  <si>
    <t xml:space="preserve">Meridian: Sanjay sent two IT questions on 16 Jun; unanswered 3+ weeks. On 6 Jul Bhavin asked Jay where it stood; nobody was sure if anyone had replied.</t>
  </si>
  <si>
    <t xml:space="preserve">emails/2026-06-16_meridian_proposal_questions.md; meeting_notes/2026-07-06_meridian_check.md</t>
  </si>
  <si>
    <t xml:space="preserve">After a proposal, the client's questions are the next step, and they go unseen.</t>
  </si>
  <si>
    <t xml:space="preserve">Late follow-up</t>
  </si>
  <si>
    <t xml:space="preserve">Think of the last time you realised a follow-up was late. How did you find out?</t>
  </si>
  <si>
    <t xml:space="preserve">HealthFirst board date (14 Jul) found only when Karandeep searched his inbox during the 7 Jul meeting. FreshCart: Ananya wrote "never got that call".</t>
  </si>
  <si>
    <t xml:space="preserve">meeting_notes/2026-07-07_internal_prioritization.md; emails/2026-05-18_freshcart_referral_followup.md</t>
  </si>
  <si>
    <t xml:space="preserve">Lateness is discovered by accident or by the client.</t>
  </si>
  <si>
    <t xml:space="preserve">Revived deals</t>
  </si>
  <si>
    <t xml:space="preserve">Tell me about a deal that came back after going quiet. What prompted it?</t>
  </si>
  <si>
    <t xml:space="preserve">Kaveri (local vendor failed) and ClearPath (budget unfrozen): both clients initiated; CRM still says 'Lost'. Quantia asked for a Q2 check-back; nobody did it.</t>
  </si>
  <si>
    <t xml:space="preserve">emails/2026-06-23_kaveri_vendor_failed.md; 2026-06-09_clearpath_budget_unfrozen.md; 2025-09-30_quantia_lost_deal.md</t>
  </si>
  <si>
    <t xml:space="preserve">Revivals happen despite AtliQ, not because of it.</t>
  </si>
  <si>
    <t xml:space="preserve">Cross-sell</t>
  </si>
  <si>
    <t xml:space="preserve">When did an existing client last mention a separate need? What happened next?</t>
  </si>
  <si>
    <t xml:space="preserve">Acme (18 Jun): asked about board-pack automation and inventory forecasting. Dhaval promised a scope note 'this week': not sent; forecasting never logged.</t>
  </si>
  <si>
    <t xml:space="preserve">emails/2026-06-18_acme_retail_monthly_reports.md; meeting_notes/2026-06-24_acme_quarterly_review.md</t>
  </si>
  <si>
    <t xml:space="preserve">Expansion revenue is mentioned in passing and never logged.</t>
  </si>
  <si>
    <t xml:space="preserve">Record-keeping</t>
  </si>
  <si>
    <t xml:space="preserve">Show me how you recorded your last client call.</t>
  </si>
  <si>
    <t xml:space="preserve">Dhaval forwarded MiraHealth notes to Jay from the airport: "Can you put this in the CRM? I'll forget half of it." CRM still says 'second call done'. BlueOrchid: email is "on her card. which card. which drawer".</t>
  </si>
  <si>
    <t xml:space="preserve">emails/2026-07-07_mirahealth_quick_summary.md; meeting_notes/2026-06-19_blueorchid_call.md</t>
  </si>
  <si>
    <t xml:space="preserve">Recording is delegated or skipped.</t>
  </si>
  <si>
    <t xml:space="preserve">Finding context</t>
  </si>
  <si>
    <t xml:space="preserve">When did you last search your email for context before a decision or a call? How long did it take?</t>
  </si>
  <si>
    <t xml:space="preserve">Jay spent ~2 hours reconciling the CRM against inboxes before the 2 Jul review and still found gaps; Karandeep searched his inbox mid-meeting on 7 Jul.</t>
  </si>
  <si>
    <t xml:space="preserve">meeting_notes/2026-07-02_internal_pipeline_review.md; 2026-07-07_internal_prioritization.md</t>
  </si>
  <si>
    <t xml:space="preserve">The inbox is the real system of record.</t>
  </si>
  <si>
    <t xml:space="preserve">Ownership</t>
  </si>
  <si>
    <t xml:space="preserve">After your last internal meeting, how was it decided who owns each next action?</t>
  </si>
  <si>
    <t xml:space="preserve">"No owners assigned by end of meeting. Bhavin took FinEdge 'probably'." NovaPharma questionnaire: "Who owns it? (Unresolved in meeting.)"</t>
  </si>
  <si>
    <t xml:space="preserve">meeting_notes/2026-07-07_internal_prioritization.md; 2026-07-02_internal_pipeline_review.md</t>
  </si>
  <si>
    <t xml:space="preserve">Ownership is a gap in its own right, not just a missing CRM field.</t>
  </si>
  <si>
    <t xml:space="preserve">Conferences</t>
  </si>
  <si>
    <t xml:space="preserve">What happened to the business cards from the last conference you attended?</t>
  </si>
  <si>
    <t xml:space="preserve">~15 cards collected at TechSummit, 4 entered; 8–10 'in the drawer'. "Half of these will go cold before we get to them. Happens every conference."</t>
  </si>
  <si>
    <t xml:space="preserve">meeting_notes/2026-06-14_techsummit_debrief.md; 2026-07-02_internal_pipeline_review.md</t>
  </si>
  <si>
    <t xml:space="preserve">A known, recurring leak the team has accepted.</t>
  </si>
  <si>
    <t xml:space="preserve">Cost of losses</t>
  </si>
  <si>
    <t xml:space="preserve">Tell me about the last deal you lost. What actually caused it?</t>
  </si>
  <si>
    <t xml:space="preserve">Kaveri (Nov) and RetailOne were lost on price or to a regional partner; Quantia was lost on timing ('a timing problem, not a fit problem').</t>
  </si>
  <si>
    <t xml:space="preserve">crm_export.csv (L-1007, L-1024, L-1035); emails/2025-09-30_quantia_lost_deal.md</t>
  </si>
  <si>
    <t xml:space="preserve">Not every loss is a follow-up failure. PromiseKeeper won't fix price losses, so we don't claim it will.</t>
  </si>
  <si>
    <t xml:space="preserve">Prioritisation</t>
  </si>
  <si>
    <t xml:space="preserve">Last week, how did you decide which deals to work on first?</t>
  </si>
  <si>
    <t xml:space="preserve">The 7 Jul ad-hoc meeting was an argument over FinEdge, NovaPharma, ShopSwift, Meridian and HealthFirst. "We find out what's urgent by accident."</t>
  </si>
  <si>
    <t xml:space="preserve">meeting_notes/2026-07-07_internal_prioritization.md</t>
  </si>
  <si>
    <t xml:space="preserve">Priority is set by debate, not data.</t>
  </si>
  <si>
    <t xml:space="preserve">Past fixes</t>
  </si>
  <si>
    <t xml:space="preserve">What have you already tried to fix this? What did it cost you?</t>
  </si>
  <si>
    <t xml:space="preserve">A same-day CRM update pledge in April, repeated in July. Jay acting as a human CRM for the founders.</t>
  </si>
  <si>
    <t xml:space="preserve">meeting_notes/2026-07-02_internal_pipeline_review.md</t>
  </si>
  <si>
    <t xml:space="preserve">Discipline-based fixes failed twice, so zero data entry is a requirement, not a nice-to-have.</t>
  </si>
  <si>
    <t xml:space="preserve">Safeguards</t>
  </si>
  <si>
    <t xml:space="preserve">Has a client ever been contacted twice, or received the wrong information? What happened?</t>
  </si>
  <si>
    <t xml:space="preserve">Meridian: Jay pitched Sanjay at TechSummit while Bhavin had a proposal open with him: "Awkward."</t>
  </si>
  <si>
    <t xml:space="preserve">meeting_notes/2026-06-14_techsummit_debrief.md</t>
  </si>
  <si>
    <t xml:space="preserve">Clients notice disarray, so the AI must never contact clients itself and must catch duplicates.</t>
  </si>
  <si>
    <t xml:space="preserve">OPEN: to validate</t>
  </si>
  <si>
    <t xml:space="preserve">When did you last open the CRM on your phone? What were you looking for?</t>
  </si>
  <si>
    <t xml:space="preserve">Not in the dataset.</t>
  </si>
  <si>
    <t xml:space="preserve">—</t>
  </si>
  <si>
    <t xml:space="preserve">Tests whether a phone-first brief matches real habits.</t>
  </si>
  <si>
    <t xml:space="preserve">The last time someone reminded you about a follow-up, what did you do next?</t>
  </si>
  <si>
    <t xml:space="preserve">Tests whether a reminder alone changes behaviour, or whether a draft or owner is also needed.</t>
  </si>
  <si>
    <t xml:space="preserve">Which client emails did you read this morning, and which did you leave for later?</t>
  </si>
  <si>
    <t xml:space="preserve">Tests what makes a message 'urgent' to a founder, to tune the brief's ranking rules.</t>
  </si>
  <si>
    <t xml:space="preserve">EVIDENCE MATRIX  —  every claim in the worksheet traced to the dataset (dataset 'today' = 10 Jul 2026)</t>
  </si>
  <si>
    <t xml:space="preserve">Six failure patterns behind the root cause</t>
  </si>
  <si>
    <t xml:space="preserve">Italicised editorial notes in the dataset are treated as ground truth for what did or didn't happen. They are used here as evidence only; the AI solution will not be shown them.</t>
  </si>
  <si>
    <t xml:space="preserve">Failure pattern</t>
  </si>
  <si>
    <t xml:space="preserve">What happened (examples)</t>
  </si>
  <si>
    <t xml:space="preserve">Source files</t>
  </si>
  <si>
    <t xml:space="preserve">What the CRM says</t>
  </si>
  <si>
    <t xml:space="preserve">Root-cause link</t>
  </si>
  <si>
    <t xml:space="preserve">1. AtliQ's own promises not kept</t>
  </si>
  <si>
    <t xml:space="preserve">ByteBridge: case studies + reference 'by Friday' (12 May), never sent. Northwind: sample dashboards 'next week', never sent. Zenlytics: calendar invite promised, never sent. CloudNine: references 'in a day or two', client chased 6 Jul. Acme: scope note 'this week', not done. MedTrack: deck 'this week', nothing sent. Vertex: 'reconnect in February', never did.</t>
  </si>
  <si>
    <t xml:space="preserve">emails/2026-05-10_bytebridge_competitor.md, 2026-06-11_northwind_crosssell.md, 2026-06-03_zenlytics_intro_call.md, 2026-06-21_cloudnine_rates_references.md, 2026-06-18_acme_retail_monthly_reports.md; meeting_notes/2026-06-13_medtrack_scribble.md; emails/2026-01-15_vertex_ooo_stall.md</t>
  </si>
  <si>
    <t xml:space="preserve">L-1031 / L-1008 / L-1025 'Contacted'; no next follow-up anywhere</t>
  </si>
  <si>
    <t xml:space="preserve">Commitments are made in email and nothing tracks them.</t>
  </si>
  <si>
    <t xml:space="preserve">2. Hard client deadlines no one is watching</t>
  </si>
  <si>
    <t xml:space="preserve">ShopSwift SOW due 15 Jul ($55k). HealthFirst board 14 Jul. NovaPharma 78-question security questionnaire due 24 Jul ($80k), no owner. Meridian budget review mid-July. AgroLink proposal due 10 Jul. Nimbus Lending wants a call before 20 Jul. FreshCart deciding mid-July.</t>
  </si>
  <si>
    <t xml:space="preserve">emails/2026-06-29_shopswift_budget_confirmed.md, 2026-04-20_healthfirst_board_update.md, 2026-06-30_novapharma_security_questionnaire.md, 2026-06-16_meridian_proposal_questions.md, 2026-07-05_nimbus_lending_intro.md; meeting_notes/2026-07-01_agrolink_budget_call.md, 2026-07-07_internal_prioritization.md</t>
  </si>
  <si>
    <t xml:space="preserve">next_followup_date empty on all; ShopSwift &amp; Meridian still 'Contacted'</t>
  </si>
  <si>
    <t xml:space="preserve">Deadlines arrive as free text in client emails, so no system can see them.</t>
  </si>
  <si>
    <t xml:space="preserve">3. CRM contradicts reality</t>
  </si>
  <si>
    <t xml:space="preserve">Kaveri marked 'Lost' but demoed again on 8 Jul and asked for a quote. ClearPath 'Lost' but wrote back with budget unfrozen. Trustline approved and contract out, still 'Proposal Sent'. FinEdge last contact shows 30 Mar, though compliance cleared 19 Jun. DataNest renewal + 3rd engineer agreed, CRM unchanged.</t>
  </si>
  <si>
    <t xml:space="preserve">emails/2026-06-23_kaveri_vendor_failed.md, 2026-06-09_clearpath_budget_unfrozen.md, 2026-07-03_trustline_approved.md, 2026-03-26_finedge_compliance_docs.md, 2026-06-30_datanest_renewal.md; meeting_notes/2026-07-08_kaveri_demo_round2.md</t>
  </si>
  <si>
    <t xml:space="preserve">L-1007 Lost, L-1015 Lost, L-1032 Proposal Sent, L-1023 last contact 2026-03-30</t>
  </si>
  <si>
    <t xml:space="preserve">CRM updated only by manual entry, which never happens.</t>
  </si>
  <si>
    <t xml:space="preserve">4. Leads that never reached the CRM</t>
  </si>
  <si>
    <t xml:space="preserve">Harbor &amp; Finch (referral from FinEdge, ~120 reports/quarter). Lumino Fitness (wants case study, budgeting now). PixelWorks (3–4 white-label projects/quarter). Nimbus Lending (referral from PayTrack, 4,000 loans/month). Ridgeline Foods (called the office, no contact details captured). ~10 TechSummit cards still in a drawer.</t>
  </si>
  <si>
    <t xml:space="preserve">emails/2026-06-27_harborfinch_referral_intro.md, 2026-06-20_lumino_fitness_case_study.md, 2026-06-29_pixelworks_partnership.md, 2026-07-05_nimbus_lending_intro.md; meeting_notes/2026-07-03_ridgeline_scribble.md, 2026-06-14_techsummit_debrief.md</t>
  </si>
  <si>
    <t xml:space="preserve">Not in CRM at all</t>
  </si>
  <si>
    <t xml:space="preserve">Leads arrive by email, phone or in person; entering them is a separate step that gets skipped.</t>
  </si>
  <si>
    <t xml:space="preserve">5. Duplicates and no owner</t>
  </si>
  <si>
    <t xml:space="preserve">Meridian entered twice (L-1003 Bhavin, L-1027 Jay), so Sanjay was pitched by two AtliQ people. GlobalMart also appears twice (L-1004, L-1040, same contact): could be a second opportunity, needs a human decision. 5 leads have no owner (EduSpark, CargoLine, ApexAuto, OceanFreight, Citywide), and the NovaPharma questionnaire has no owner either.</t>
  </si>
  <si>
    <t xml:space="preserve">crm_export.csv; meeting_notes/2026-06-14_techsummit_debrief.md, 2026-07-02_internal_pipeline_review.md</t>
  </si>
  <si>
    <t xml:space="preserve">L-1003 + L-1027; L-1004 + L-1040; owner blank ×5</t>
  </si>
  <si>
    <t xml:space="preserve">No shared view, so sellers can't see each other's relationships.</t>
  </si>
  <si>
    <t xml:space="preserve">6. Buying signals buried in threads</t>
  </si>
  <si>
    <t xml:space="preserve">Cross-sell: Acme (board-pack automation + inventory forecasting), GlobalMart (demand forecasting), Northwind (dashboards), Sunrise (portal v2 + sales dashboard), PayTrack (merchant-risk module), DataNest (3rd engineer). Revisit: Quantia said 'check back Q2 2026', now overdue.</t>
  </si>
  <si>
    <t xml:space="preserve">emails/2026-06-18_acme_retail_monthly_reports.md, 2026-06-24_globalmart_pricing.md, 2026-06-11_northwind_crosssell.md, 2026-06-10_sunrise_foods_reactivation.md, 2026-07-02_paytrack_phase2.md, 2026-06-30_datanest_renewal.md, 2025-09-30_quantia_lost_deal.md; meeting_notes/2026-06-24_acme_quarterly_review.md</t>
  </si>
  <si>
    <t xml:space="preserve">No new opportunities logged; Quantia 'Lost', no revisit date</t>
  </si>
  <si>
    <t xml:space="preserve">Signals are mentioned in passing in email; only a reader with memory would catch them.</t>
  </si>
  <si>
    <t xml:space="preserve">PIPELINE AT RISK  —  open deals with an unanswered client or a deadline within ~3 weeks of 10 Jul 2026</t>
  </si>
  <si>
    <t xml:space="preserve">Values: CRM est_value_usd where present; otherwise the figure stated in the email/notes (noted). Deals with no value anywhere are listed below the total and are not counted. CAUTION: this is value at risk, not revenue already lost. Some of these deals may close anyway, and some losses (e.g. on price) would not be prevented by better follow-up.</t>
  </si>
  <si>
    <t xml:space="preserve">Account</t>
  </si>
  <si>
    <t xml:space="preserve">CRM ID</t>
  </si>
  <si>
    <t xml:space="preserve">Value (USD)</t>
  </si>
  <si>
    <t xml:space="preserve">What's at risk</t>
  </si>
  <si>
    <t xml:space="preserve">FinEdge Bank</t>
  </si>
  <si>
    <t xml:space="preserve">L-1023</t>
  </si>
  <si>
    <t xml:space="preserve">Compliance cleared 19 Jun; client asked for a commercial call. Unconfirmed for 3 weeks. Largest deal in the pipeline.</t>
  </si>
  <si>
    <t xml:space="preserve">emails/2026-03-26_finedge_compliance_docs.md</t>
  </si>
  <si>
    <t xml:space="preserve">NovaPharma</t>
  </si>
  <si>
    <t xml:space="preserve">L-1029</t>
  </si>
  <si>
    <t xml:space="preserve">78-question security questionnaire due 24 Jul; forwarded to Pranav, no response, no owner. Miss it and the deal slips a year.</t>
  </si>
  <si>
    <t xml:space="preserve">emails/2026-06-30_novapharma_security_questionnaire.md</t>
  </si>
  <si>
    <t xml:space="preserve">ShopSwift</t>
  </si>
  <si>
    <t xml:space="preserve">L-1017</t>
  </si>
  <si>
    <t xml:space="preserve">Budget approved; SOW needed by 15 Jul or budget slips a quarter. No reply sent.</t>
  </si>
  <si>
    <t xml:space="preserve">emails/2026-06-29_shopswift_budget_confirmed.md</t>
  </si>
  <si>
    <t xml:space="preserve">Meridian Healthcare</t>
  </si>
  <si>
    <t xml:space="preserve">L-1003</t>
  </si>
  <si>
    <t xml:space="preserve">Two IT questions unanswered since 16 Jun; client budget review mid-July. Also duplicated as L-1027.</t>
  </si>
  <si>
    <t xml:space="preserve">emails/2026-06-16_meridian_proposal_questions.md</t>
  </si>
  <si>
    <t xml:space="preserve">ClearPath Insurance</t>
  </si>
  <si>
    <t xml:space="preserve">L-1015</t>
  </si>
  <si>
    <t xml:space="preserve">Budget unfrozen; client asked whether the 40k estimate holds. No reply. CRM still says 'Lost'.</t>
  </si>
  <si>
    <t xml:space="preserve">emails/2026-06-09_clearpath_budget_unfrozen.md</t>
  </si>
  <si>
    <t xml:space="preserve">AgroLink</t>
  </si>
  <si>
    <t xml:space="preserve">L-1011</t>
  </si>
  <si>
    <t xml:space="preserve">~35–40k approved (low end used; not in CRM). Proposal due 10 Jul, not started; contact on leave from 14 Jul.</t>
  </si>
  <si>
    <t xml:space="preserve">meeting_notes/2026-07-01_agrolink_budget_call.md</t>
  </si>
  <si>
    <t xml:space="preserve">HealthFirst Clinics</t>
  </si>
  <si>
    <t xml:space="preserve">L-1009</t>
  </si>
  <si>
    <t xml:space="preserve">Board decides 14 Jul; no contact since April, no reminder set.</t>
  </si>
  <si>
    <t xml:space="preserve">emails/2026-04-20_healthfirst_board_update.md</t>
  </si>
  <si>
    <t xml:space="preserve">VoltEnergy</t>
  </si>
  <si>
    <t xml:space="preserve">L-1014</t>
  </si>
  <si>
    <t xml:space="preserve">Client asked for a 3-year TCO comparison 'this week' (1 Jul) against a Tableau competitor. No reply.</t>
  </si>
  <si>
    <t xml:space="preserve">emails/2026-06-15_voltenergy_competitor.md</t>
  </si>
  <si>
    <t xml:space="preserve">Kaveri Textiles</t>
  </si>
  <si>
    <t xml:space="preserve">L-1007</t>
  </si>
  <si>
    <t xml:space="preserve">Revised 2-plant quote due 15 Jul, not started (value = Nov quote; new scope is larger). CRM says 'Lost'.</t>
  </si>
  <si>
    <t xml:space="preserve">meeting_notes/2026-07-08_kaveri_demo_round2.md</t>
  </si>
  <si>
    <t xml:space="preserve">Total valued pipeline at risk</t>
  </si>
  <si>
    <t xml:space="preserve">Also at risk, with no value recorded (not counted in the total)</t>
  </si>
  <si>
    <t xml:space="preserve">FreshCart</t>
  </si>
  <si>
    <t xml:space="preserve">L-1020</t>
  </si>
  <si>
    <t xml:space="preserve">Warm referral from Acme; promised call never made; now deciding between two other vendors by mid-July.</t>
  </si>
  <si>
    <t xml:space="preserve">emails/2026-05-18_freshcart_referral_followup.md</t>
  </si>
  <si>
    <t xml:space="preserve">CloudNine SaaS</t>
  </si>
  <si>
    <t xml:space="preserve">L-1025</t>
  </si>
  <si>
    <t xml:space="preserve">References promised 22 Jun; client closing with another vendor by mid-July.</t>
  </si>
  <si>
    <t xml:space="preserve">emails/2026-06-21_cloudnine_rates_references.md</t>
  </si>
  <si>
    <t xml:space="preserve">Nimbus Lending</t>
  </si>
  <si>
    <t xml:space="preserve">— (missing)</t>
  </si>
  <si>
    <t xml:space="preserve">Referral from PayTrack; budget talks week of 20 Jul. No reply, not in CRM.</t>
  </si>
  <si>
    <t xml:space="preserve">Harbor &amp; Finch</t>
  </si>
  <si>
    <t xml:space="preserve">Referral from FinEdge; asked to talk 'in the next couple of weeks' on 27 Jun. No reply, not in CRM.</t>
  </si>
  <si>
    <t xml:space="preserve">emails/2026-06-27_harborfinch_referral_intro.md</t>
  </si>
  <si>
    <t xml:space="preserve">EduSpark</t>
  </si>
  <si>
    <t xml:space="preserve">L-1010</t>
  </si>
  <si>
    <t xml:space="preserve">Website enquiry unanswered since 25 Jun; budget window closes mid-Aug. No owner.</t>
  </si>
  <si>
    <t xml:space="preserve">emails/2026-07-08_eduspark_website_enquiry.md</t>
  </si>
  <si>
    <t xml:space="preserve">SUPPORTING RESEARCH  —  secondary stakeholder and CRM data-quality signals</t>
  </si>
  <si>
    <t xml:space="preserve">CRM data quality (crm_export.csv, 40 records, counted directly)</t>
  </si>
  <si>
    <t xml:space="preserve">Field / check</t>
  </si>
  <si>
    <t xml:space="preserve">Records affected</t>
  </si>
  <si>
    <t xml:space="preserve">Why it matters</t>
  </si>
  <si>
    <t xml:space="preserve">next_followup_date blank</t>
  </si>
  <si>
    <t xml:space="preserve">40 of 40</t>
  </si>
  <si>
    <t xml:space="preserve">There is no record anywhere of what happens next on any deal, including the 31 that are still open.</t>
  </si>
  <si>
    <t xml:space="preserve">est_value_usd blank</t>
  </si>
  <si>
    <t xml:space="preserve">21 of 40</t>
  </si>
  <si>
    <t xml:space="preserve">Over half the pipeline can't be sized, so prioritisation is gut feel.</t>
  </si>
  <si>
    <t xml:space="preserve">last_contact_date blank</t>
  </si>
  <si>
    <t xml:space="preserve">13 of 40</t>
  </si>
  <si>
    <t xml:space="preserve">Recency can't be judged; stale deals look identical to fresh ones.</t>
  </si>
  <si>
    <t xml:space="preserve">owner blank</t>
  </si>
  <si>
    <t xml:space="preserve">5 of 40</t>
  </si>
  <si>
    <t xml:space="preserve">Unowned leads (EduSpark, Citywide, OceanFreight, CargoLine, ApexAuto) are nobody's job.</t>
  </si>
  <si>
    <t xml:space="preserve">Duplicate accounts</t>
  </si>
  <si>
    <t xml:space="preserve">2 pairs</t>
  </si>
  <si>
    <t xml:space="preserve">Meridian (L-1003/L-1027) and GlobalMart (L-1004/L-1040). Two sellers working one client without knowing it.</t>
  </si>
  <si>
    <t xml:space="preserve">Status contradicts emails</t>
  </si>
  <si>
    <t xml:space="preserve">≥5</t>
  </si>
  <si>
    <t xml:space="preserve">Kaveri, ClearPath (Lost but active); Trustline (won, shows Proposal Sent); ShopSwift, Meridian (Contacted, past that stage).</t>
  </si>
  <si>
    <t xml:space="preserve">Live leads missing from CRM</t>
  </si>
  <si>
    <t xml:space="preserve">5 + ~10 cards</t>
  </si>
  <si>
    <t xml:space="preserve">Harbor &amp; Finch, Lumino Fitness, PixelWorks, Nimbus Lending, Ridgeline Foods, plus ~10 TechSummit cards not entered.</t>
  </si>
  <si>
    <t xml:space="preserve">Secondary stakeholder: Jay, sales executive (the only full-time seller)</t>
  </si>
  <si>
    <t xml:space="preserve">Role in the problem</t>
  </si>
  <si>
    <t xml:space="preserve">De facto CRM keeper: founders forward him emails asking him to 'put this in the CRM'. Owns many leads himself (TechSummit, website, cold outreach).</t>
  </si>
  <si>
    <t xml:space="preserve">A CRM he can trust without reconciling it by hand; clear owners so he isn't the default for every unassigned lead.</t>
  </si>
  <si>
    <t xml:space="preserve">Pain</t>
  </si>
  <si>
    <t xml:space="preserve">Spent ~2 hours before the 2 Jul pipeline review reconciling the CRM against inboxes, and still found gaps. Pitched Meridian at TechSummit without knowing Bhavin already had a proposal with them.</t>
  </si>
  <si>
    <t xml:space="preserve">Points out</t>
  </si>
  <si>
    <t xml:space="preserve">In the 7 Jul meeting: the CRM shows none of the week's urgent deals; statuses are stale, next_followup is mostly empty, and half the urgency lives in inboxes.</t>
  </si>
  <si>
    <t xml:space="preserve">What he needs from a solution</t>
  </si>
  <si>
    <t xml:space="preserve">Suggested CRM updates he can approve in one tap instead of typing; duplicate and missing-owner alerts; one shared view across all four sellers.</t>
  </si>
  <si>
    <t xml:space="preserve">Who else is affected (not interviewed; from the dataset)</t>
  </si>
  <si>
    <t xml:space="preserve">Pranav (CTO) &amp; Ayush (AI PM)</t>
  </si>
  <si>
    <t xml:space="preserve">Pre-sales asks reach them by forward with no deadline or owner attached (NovaPharma questionnaire, Acme scope note), so the requests stall.</t>
  </si>
  <si>
    <t xml:space="preserve">Clients and referrers</t>
  </si>
  <si>
    <t xml:space="preserve">Experience AtliQ as unresponsive despite strong delivery (FreshCart, CloudNine, Harbor &amp; Finch). Referrers such as Priya (Acme) and Suresh (FinEdge) risk embarrassment.</t>
  </si>
</sst>
</file>

<file path=xl/styles.xml><?xml version="1.0" encoding="utf-8"?>
<styleSheet xmlns="http://schemas.openxmlformats.org/spreadsheetml/2006/main">
  <numFmts count="2">
    <numFmt numFmtId="164" formatCode="General"/>
    <numFmt numFmtId="165" formatCode="\$#,##0"/>
  </numFmts>
  <fonts count="21">
    <font>
      <sz val="11"/>
      <color theme="1"/>
      <name val="Calibri"/>
      <family val="2"/>
      <charset val="1"/>
    </font>
    <font>
      <sz val="10"/>
      <name val="Arial"/>
      <family val="0"/>
    </font>
    <font>
      <sz val="10"/>
      <name val="Arial"/>
      <family val="0"/>
    </font>
    <font>
      <sz val="10"/>
      <name val="Arial"/>
      <family val="0"/>
    </font>
    <font>
      <b val="true"/>
      <sz val="14"/>
      <color rgb="FFFFFFFF"/>
      <name val="Arial"/>
      <family val="2"/>
      <charset val="1"/>
    </font>
    <font>
      <b val="true"/>
      <sz val="12"/>
      <color rgb="FF1B1B3A"/>
      <name val="Arial"/>
      <family val="2"/>
      <charset val="1"/>
    </font>
    <font>
      <b val="true"/>
      <sz val="15"/>
      <color rgb="FF333333"/>
      <name val="Arial"/>
      <family val="0"/>
      <charset val="1"/>
    </font>
    <font>
      <b val="true"/>
      <sz val="12"/>
      <color rgb="FFFFFFFF"/>
      <name val="Arial"/>
      <family val="2"/>
      <charset val="1"/>
    </font>
    <font>
      <i val="true"/>
      <sz val="10"/>
      <color rgb="FF555555"/>
      <name val="Arial"/>
      <family val="2"/>
      <charset val="1"/>
    </font>
    <font>
      <b val="true"/>
      <sz val="11"/>
      <color rgb="FF1B1B3A"/>
      <name val="Arial"/>
      <family val="2"/>
      <charset val="1"/>
    </font>
    <font>
      <b val="true"/>
      <sz val="11"/>
      <color rgb="FF000000"/>
      <name val="Arial"/>
      <family val="2"/>
      <charset val="1"/>
    </font>
    <font>
      <b val="true"/>
      <sz val="11"/>
      <color rgb="FFFFFFFF"/>
      <name val="Arial"/>
      <family val="2"/>
      <charset val="1"/>
    </font>
    <font>
      <sz val="11"/>
      <color rgb="FF000000"/>
      <name val="Arial"/>
      <family val="2"/>
      <charset val="1"/>
    </font>
    <font>
      <b val="true"/>
      <sz val="11"/>
      <color rgb="FF1B1B3A"/>
      <name val="Arial"/>
      <family val="0"/>
      <charset val="1"/>
    </font>
    <font>
      <b val="true"/>
      <sz val="14"/>
      <color rgb="FFFFFFFF"/>
      <name val="Arial"/>
      <family val="0"/>
      <charset val="1"/>
    </font>
    <font>
      <i val="true"/>
      <sz val="10"/>
      <color rgb="FF555555"/>
      <name val="Arial"/>
      <family val="0"/>
      <charset val="1"/>
    </font>
    <font>
      <b val="true"/>
      <sz val="11"/>
      <color rgb="FFFFFFFF"/>
      <name val="Arial"/>
      <family val="0"/>
      <charset val="1"/>
    </font>
    <font>
      <b val="true"/>
      <sz val="10"/>
      <color rgb="FF1B1B3A"/>
      <name val="Arial"/>
      <family val="0"/>
      <charset val="1"/>
    </font>
    <font>
      <sz val="10"/>
      <name val="Arial"/>
      <family val="0"/>
      <charset val="1"/>
    </font>
    <font>
      <b val="true"/>
      <sz val="12"/>
      <color rgb="FFFFFFFF"/>
      <name val="Arial"/>
      <family val="0"/>
      <charset val="1"/>
    </font>
    <font>
      <sz val="10"/>
      <color rgb="FF000000"/>
      <name val="Arial"/>
      <family val="0"/>
      <charset val="1"/>
    </font>
  </fonts>
  <fills count="12">
    <fill>
      <patternFill patternType="none"/>
    </fill>
    <fill>
      <patternFill patternType="gray125"/>
    </fill>
    <fill>
      <patternFill patternType="solid">
        <fgColor rgb="FF1B1B3A"/>
        <bgColor rgb="FF333333"/>
      </patternFill>
    </fill>
    <fill>
      <patternFill patternType="solid">
        <fgColor rgb="FF3DB13D"/>
        <bgColor rgb="FF2E8B2E"/>
      </patternFill>
    </fill>
    <fill>
      <patternFill patternType="solid">
        <fgColor rgb="FFEAF6EA"/>
        <bgColor rgb="FFEFEFEF"/>
      </patternFill>
    </fill>
    <fill>
      <patternFill patternType="solid">
        <fgColor rgb="FF2E8B2E"/>
        <bgColor rgb="FF008000"/>
      </patternFill>
    </fill>
    <fill>
      <patternFill patternType="solid">
        <fgColor rgb="FFFFFFFF"/>
        <bgColor rgb="FFFCFCFC"/>
      </patternFill>
    </fill>
    <fill>
      <patternFill patternType="solid">
        <fgColor rgb="FFFCFCFC"/>
        <bgColor rgb="FFFFFFFF"/>
      </patternFill>
    </fill>
    <fill>
      <patternFill patternType="solid">
        <fgColor rgb="FFF8D7D7"/>
        <bgColor rgb="FFD9D9D9"/>
      </patternFill>
    </fill>
    <fill>
      <patternFill patternType="solid">
        <fgColor rgb="FFFFF1CC"/>
        <bgColor rgb="FFEFEFEF"/>
      </patternFill>
    </fill>
    <fill>
      <patternFill patternType="solid">
        <fgColor rgb="FFE3ECF7"/>
        <bgColor rgb="FFEFEFEF"/>
      </patternFill>
    </fill>
    <fill>
      <patternFill patternType="solid">
        <fgColor rgb="FFEFEFEF"/>
        <bgColor rgb="FFEAF6EA"/>
      </patternFill>
    </fill>
  </fills>
  <borders count="4">
    <border diagonalUp="false" diagonalDown="false">
      <left/>
      <right/>
      <top/>
      <bottom/>
      <diagonal/>
    </border>
    <border diagonalUp="false" diagonalDown="false">
      <left style="medium">
        <color rgb="FF3DB13D"/>
      </left>
      <right style="medium">
        <color rgb="FF3DB13D"/>
      </right>
      <top style="medium">
        <color rgb="FF3DB13D"/>
      </top>
      <bottom style="medium">
        <color rgb="FF3DB13D"/>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5" fillId="4" borderId="1"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5" borderId="0" xfId="0" applyFont="true" applyBorder="true" applyAlignment="true" applyProtection="false">
      <alignment horizontal="left" vertical="center" textRotation="0" wrapText="false" indent="0" shrinkToFit="false"/>
      <protection locked="true" hidden="false"/>
    </xf>
    <xf numFmtId="164" fontId="8" fillId="6" borderId="0" xfId="0" applyFont="true" applyBorder="true" applyAlignment="true" applyProtection="false">
      <alignment horizontal="left" vertical="center" textRotation="0" wrapText="false" indent="0" shrinkToFit="false"/>
      <protection locked="true" hidden="false"/>
    </xf>
    <xf numFmtId="164" fontId="9" fillId="4" borderId="2" xfId="0" applyFont="true" applyBorder="true" applyAlignment="true" applyProtection="false">
      <alignment horizontal="left" vertical="center" textRotation="0" wrapText="false" indent="0" shrinkToFit="false"/>
      <protection locked="true" hidden="false"/>
    </xf>
    <xf numFmtId="164" fontId="10" fillId="7" borderId="2" xfId="0" applyFont="true" applyBorder="true" applyAlignment="true" applyProtection="false">
      <alignment horizontal="left" vertical="top" textRotation="0" wrapText="true" indent="0" shrinkToFit="false"/>
      <protection locked="true" hidden="false"/>
    </xf>
    <xf numFmtId="164" fontId="11" fillId="2" borderId="0" xfId="0" applyFont="true" applyBorder="true" applyAlignment="true" applyProtection="false">
      <alignment horizontal="center" vertical="center" textRotation="0" wrapText="false" indent="0" shrinkToFit="false"/>
      <protection locked="true" hidden="false"/>
    </xf>
    <xf numFmtId="164" fontId="12" fillId="7" borderId="2" xfId="0" applyFont="true" applyBorder="true" applyAlignment="true" applyProtection="false">
      <alignment horizontal="left" vertical="top" textRotation="0" wrapText="tru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13" fillId="7" borderId="2" xfId="0" applyFont="true" applyBorder="true" applyAlignment="true" applyProtection="false">
      <alignment horizontal="left" vertical="top" textRotation="0" wrapText="true" indent="0" shrinkToFit="false"/>
      <protection locked="true" hidden="false"/>
    </xf>
    <xf numFmtId="164" fontId="14" fillId="2" borderId="0" xfId="0" applyFont="true" applyBorder="true" applyAlignment="true" applyProtection="false">
      <alignment horizontal="general" vertical="center"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6" fillId="2" borderId="3" xfId="0" applyFont="true" applyBorder="true" applyAlignment="true" applyProtection="false">
      <alignment horizontal="general" vertical="center" textRotation="0" wrapText="true" indent="0" shrinkToFit="false"/>
      <protection locked="true" hidden="false"/>
    </xf>
    <xf numFmtId="164" fontId="17" fillId="4" borderId="3" xfId="0" applyFont="true" applyBorder="true" applyAlignment="true" applyProtection="false">
      <alignment horizontal="left" vertical="top" textRotation="0" wrapText="true" indent="0" shrinkToFit="false"/>
      <protection locked="true" hidden="false"/>
    </xf>
    <xf numFmtId="164" fontId="17" fillId="8" borderId="3" xfId="0" applyFont="true" applyBorder="true" applyAlignment="true" applyProtection="false">
      <alignment horizontal="left" vertical="top" textRotation="0" wrapText="true" indent="0" shrinkToFit="false"/>
      <protection locked="true" hidden="false"/>
    </xf>
    <xf numFmtId="164" fontId="18" fillId="7" borderId="3" xfId="0" applyFont="true" applyBorder="true" applyAlignment="true" applyProtection="false">
      <alignment horizontal="left" vertical="top" textRotation="0" wrapText="true" indent="0" shrinkToFit="false"/>
      <protection locked="true" hidden="false"/>
    </xf>
    <xf numFmtId="164" fontId="17" fillId="9" borderId="3" xfId="0" applyFont="true" applyBorder="true" applyAlignment="true" applyProtection="false">
      <alignment horizontal="left" vertical="top" textRotation="0" wrapText="true" indent="0" shrinkToFit="false"/>
      <protection locked="true" hidden="false"/>
    </xf>
    <xf numFmtId="164" fontId="17" fillId="10" borderId="3" xfId="0" applyFont="true" applyBorder="true" applyAlignment="true" applyProtection="false">
      <alignment horizontal="left" vertical="top" textRotation="0" wrapText="true" indent="0" shrinkToFit="false"/>
      <protection locked="true" hidden="false"/>
    </xf>
    <xf numFmtId="164" fontId="17" fillId="11" borderId="3" xfId="0" applyFont="true" applyBorder="true" applyAlignment="true" applyProtection="false">
      <alignment horizontal="left" vertical="top" textRotation="0" wrapText="true" indent="0" shrinkToFit="false"/>
      <protection locked="true" hidden="false"/>
    </xf>
    <xf numFmtId="164" fontId="19" fillId="5" borderId="0" xfId="0" applyFont="true" applyBorder="true" applyAlignment="true" applyProtection="false">
      <alignment horizontal="general" vertical="center" textRotation="0" wrapText="false" indent="0" shrinkToFit="false"/>
      <protection locked="true" hidden="false"/>
    </xf>
    <xf numFmtId="164" fontId="20" fillId="7" borderId="3"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general" vertical="bottom" textRotation="0" wrapText="true" indent="0" shrinkToFit="false"/>
      <protection locked="true" hidden="false"/>
    </xf>
    <xf numFmtId="165" fontId="20" fillId="7" borderId="3" xfId="0" applyFont="true" applyBorder="true" applyAlignment="true" applyProtection="false">
      <alignment horizontal="left" vertical="top" textRotation="0" wrapText="true" indent="0" shrinkToFit="false"/>
      <protection locked="true" hidden="false"/>
    </xf>
    <xf numFmtId="164" fontId="16" fillId="2" borderId="0" xfId="0" applyFont="true" applyBorder="false" applyAlignment="true" applyProtection="false">
      <alignment horizontal="general" vertical="bottom" textRotation="0" wrapText="false" indent="0" shrinkToFit="false"/>
      <protection locked="true" hidden="false"/>
    </xf>
    <xf numFmtId="165" fontId="16"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1CC"/>
      <rgbColor rgb="FFEAF6E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3ECF7"/>
      <rgbColor rgb="FFEFEFEF"/>
      <rgbColor rgb="FFFCFCFC"/>
      <rgbColor rgb="FF99CCFF"/>
      <rgbColor rgb="FFFF99CC"/>
      <rgbColor rgb="FFCC99FF"/>
      <rgbColor rgb="FFF8D7D7"/>
      <rgbColor rgb="FF3366FF"/>
      <rgbColor rgb="FF3DB13D"/>
      <rgbColor rgb="FF99CC00"/>
      <rgbColor rgb="FFFFCC00"/>
      <rgbColor rgb="FFFF9900"/>
      <rgbColor rgb="FFFF6600"/>
      <rgbColor rgb="FF555555"/>
      <rgbColor rgb="FF969696"/>
      <rgbColor rgb="FF1B1B3A"/>
      <rgbColor rgb="FF2E8B2E"/>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E54"/>
  <sheetViews>
    <sheetView showFormulas="false" showGridLines="false" showRowColHeaders="true" showZeros="true" rightToLeft="false" tabSelected="true" showOutlineSymbols="true" defaultGridColor="true" view="normal" topLeftCell="A1" colorId="64" zoomScale="60" zoomScaleNormal="60" zoomScalePageLayoutView="100" workbookViewId="0">
      <selection pane="topLeft" activeCell="B1" activeCellId="0" sqref="B1"/>
    </sheetView>
  </sheetViews>
  <sheetFormatPr defaultColWidth="8.82421875" defaultRowHeight="14.25" zeroHeight="false" outlineLevelRow="0" outlineLevelCol="0"/>
  <cols>
    <col collapsed="false" customWidth="true" hidden="false" outlineLevel="0" max="1" min="1" style="1" width="1.45"/>
    <col collapsed="false" customWidth="true" hidden="false" outlineLevel="0" max="2" min="2" style="1" width="22"/>
    <col collapsed="false" customWidth="true" hidden="false" outlineLevel="0" max="3" min="3" style="1" width="46.09"/>
    <col collapsed="false" customWidth="true" hidden="false" outlineLevel="0" max="4" min="4" style="1" width="26"/>
    <col collapsed="false" customWidth="true" hidden="false" outlineLevel="0" max="5" min="5" style="1" width="69.18"/>
    <col collapsed="false" customWidth="true" hidden="false" outlineLevel="0" max="6" min="6" style="1" width="2.45"/>
  </cols>
  <sheetData>
    <row r="1" customFormat="false" ht="6" hidden="false" customHeight="true" outlineLevel="0" collapsed="false"/>
    <row r="2" customFormat="false" ht="27.75" hidden="false" customHeight="true" outlineLevel="0" collapsed="false">
      <c r="B2" s="2" t="s">
        <v>0</v>
      </c>
      <c r="C2" s="2"/>
      <c r="D2" s="2"/>
      <c r="E2" s="2"/>
    </row>
    <row r="3" customFormat="false" ht="6" hidden="false" customHeight="true" outlineLevel="0" collapsed="false"/>
    <row r="4" customFormat="false" ht="21.75" hidden="false" customHeight="true" outlineLevel="0" collapsed="false">
      <c r="B4" s="3" t="s">
        <v>1</v>
      </c>
      <c r="C4" s="3"/>
      <c r="D4" s="3"/>
      <c r="E4" s="3"/>
    </row>
    <row r="5" customFormat="false" ht="19.5" hidden="false" customHeight="true" outlineLevel="0" collapsed="false">
      <c r="B5" s="4" t="s">
        <v>2</v>
      </c>
      <c r="C5" s="4"/>
      <c r="D5" s="4"/>
      <c r="E5" s="4"/>
    </row>
    <row r="6" customFormat="false" ht="30" hidden="false" customHeight="true" outlineLevel="0" collapsed="false">
      <c r="B6" s="5" t="s">
        <v>3</v>
      </c>
      <c r="C6" s="5"/>
      <c r="D6" s="5"/>
      <c r="E6" s="5"/>
    </row>
    <row r="7" customFormat="false" ht="31.5" hidden="false" customHeight="true" outlineLevel="0" collapsed="false">
      <c r="B7" s="5"/>
      <c r="C7" s="5"/>
      <c r="D7" s="5"/>
      <c r="E7" s="5"/>
    </row>
    <row r="8" customFormat="false" ht="9.75" hidden="false" customHeight="true" outlineLevel="0" collapsed="false"/>
    <row r="9" customFormat="false" ht="21.75" hidden="false" customHeight="true" outlineLevel="0" collapsed="false">
      <c r="B9" s="6" t="s">
        <v>4</v>
      </c>
      <c r="C9" s="6"/>
      <c r="D9" s="6"/>
      <c r="E9" s="6"/>
    </row>
    <row r="10" customFormat="false" ht="15.75" hidden="false" customHeight="true" outlineLevel="0" collapsed="false">
      <c r="B10" s="7" t="s">
        <v>5</v>
      </c>
      <c r="C10" s="7"/>
      <c r="D10" s="7"/>
      <c r="E10" s="7"/>
    </row>
    <row r="11" customFormat="false" ht="36" hidden="false" customHeight="true" outlineLevel="0" collapsed="false">
      <c r="B11" s="8" t="s">
        <v>6</v>
      </c>
      <c r="C11" s="9" t="s">
        <v>7</v>
      </c>
      <c r="D11" s="9"/>
      <c r="E11" s="9"/>
    </row>
    <row r="12" customFormat="false" ht="21" hidden="false" customHeight="true" outlineLevel="0" collapsed="false">
      <c r="B12" s="8"/>
      <c r="C12" s="9" t="s">
        <v>8</v>
      </c>
      <c r="D12" s="9"/>
      <c r="E12" s="9"/>
    </row>
    <row r="13" customFormat="false" ht="21" hidden="false" customHeight="true" outlineLevel="0" collapsed="false">
      <c r="B13" s="8"/>
      <c r="C13" s="9" t="s">
        <v>9</v>
      </c>
      <c r="D13" s="9"/>
      <c r="E13" s="9"/>
    </row>
    <row r="14" customFormat="false" ht="36" hidden="false" customHeight="true" outlineLevel="0" collapsed="false">
      <c r="B14" s="8" t="s">
        <v>10</v>
      </c>
      <c r="C14" s="9" t="s">
        <v>11</v>
      </c>
      <c r="D14" s="9"/>
      <c r="E14" s="9"/>
    </row>
    <row r="15" customFormat="false" ht="21" hidden="false" customHeight="true" outlineLevel="0" collapsed="false">
      <c r="B15" s="8"/>
      <c r="C15" s="9" t="s">
        <v>12</v>
      </c>
      <c r="D15" s="9"/>
      <c r="E15" s="9"/>
    </row>
    <row r="16" customFormat="false" ht="36" hidden="false" customHeight="true" outlineLevel="0" collapsed="false">
      <c r="B16" s="8"/>
      <c r="C16" s="9" t="s">
        <v>13</v>
      </c>
      <c r="D16" s="9"/>
      <c r="E16" s="9"/>
    </row>
    <row r="17" customFormat="false" ht="21" hidden="false" customHeight="true" outlineLevel="0" collapsed="false">
      <c r="B17" s="8" t="s">
        <v>14</v>
      </c>
      <c r="C17" s="9" t="s">
        <v>15</v>
      </c>
      <c r="D17" s="9"/>
      <c r="E17" s="9"/>
    </row>
    <row r="18" customFormat="false" ht="21" hidden="false" customHeight="true" outlineLevel="0" collapsed="false">
      <c r="B18" s="8"/>
      <c r="C18" s="9" t="s">
        <v>16</v>
      </c>
      <c r="D18" s="9"/>
      <c r="E18" s="9"/>
    </row>
    <row r="19" customFormat="false" ht="21" hidden="false" customHeight="true" outlineLevel="0" collapsed="false">
      <c r="B19" s="8"/>
      <c r="C19" s="9" t="s">
        <v>17</v>
      </c>
      <c r="D19" s="9"/>
      <c r="E19" s="9"/>
    </row>
    <row r="20" customFormat="false" ht="21" hidden="false" customHeight="true" outlineLevel="0" collapsed="false">
      <c r="B20" s="8" t="s">
        <v>18</v>
      </c>
      <c r="C20" s="9" t="s">
        <v>19</v>
      </c>
      <c r="D20" s="9"/>
      <c r="E20" s="9"/>
    </row>
    <row r="21" customFormat="false" ht="21" hidden="false" customHeight="true" outlineLevel="0" collapsed="false">
      <c r="B21" s="8"/>
      <c r="C21" s="9" t="s">
        <v>20</v>
      </c>
      <c r="D21" s="9"/>
      <c r="E21" s="9"/>
    </row>
    <row r="22" customFormat="false" ht="21" hidden="false" customHeight="true" outlineLevel="0" collapsed="false">
      <c r="B22" s="8"/>
      <c r="C22" s="9" t="s">
        <v>21</v>
      </c>
      <c r="D22" s="9"/>
      <c r="E22" s="9"/>
    </row>
    <row r="23" customFormat="false" ht="9.75" hidden="false" customHeight="true" outlineLevel="0" collapsed="false"/>
    <row r="24" customFormat="false" ht="21.75" hidden="false" customHeight="true" outlineLevel="0" collapsed="false">
      <c r="B24" s="6" t="s">
        <v>22</v>
      </c>
      <c r="C24" s="6"/>
      <c r="D24" s="6"/>
      <c r="E24" s="6"/>
    </row>
    <row r="25" customFormat="false" ht="15.75" hidden="false" customHeight="true" outlineLevel="0" collapsed="false">
      <c r="B25" s="7" t="s">
        <v>23</v>
      </c>
      <c r="C25" s="7"/>
      <c r="D25" s="7"/>
      <c r="E25" s="7"/>
    </row>
    <row r="26" customFormat="false" ht="18" hidden="false" customHeight="true" outlineLevel="0" collapsed="false">
      <c r="B26" s="10" t="s">
        <v>24</v>
      </c>
      <c r="C26" s="10"/>
      <c r="D26" s="10" t="s">
        <v>25</v>
      </c>
      <c r="E26" s="10"/>
    </row>
    <row r="27" customFormat="false" ht="38.25" hidden="false" customHeight="true" outlineLevel="0" collapsed="false">
      <c r="B27" s="11" t="s">
        <v>26</v>
      </c>
      <c r="C27" s="11"/>
      <c r="D27" s="11" t="s">
        <v>27</v>
      </c>
      <c r="E27" s="11"/>
    </row>
    <row r="28" customFormat="false" ht="38.25" hidden="false" customHeight="true" outlineLevel="0" collapsed="false">
      <c r="B28" s="11"/>
      <c r="C28" s="11"/>
      <c r="D28" s="11"/>
      <c r="E28" s="11"/>
    </row>
    <row r="29" customFormat="false" ht="38.25" hidden="false" customHeight="true" outlineLevel="0" collapsed="false">
      <c r="B29" s="11"/>
      <c r="C29" s="11"/>
      <c r="D29" s="11"/>
      <c r="E29" s="11"/>
    </row>
    <row r="30" customFormat="false" ht="18" hidden="false" customHeight="true" outlineLevel="0" collapsed="false">
      <c r="B30" s="10" t="s">
        <v>28</v>
      </c>
      <c r="C30" s="10"/>
      <c r="D30" s="10" t="s">
        <v>29</v>
      </c>
      <c r="E30" s="10"/>
    </row>
    <row r="31" customFormat="false" ht="42.75" hidden="false" customHeight="true" outlineLevel="0" collapsed="false">
      <c r="B31" s="11" t="s">
        <v>30</v>
      </c>
      <c r="C31" s="11"/>
      <c r="D31" s="11" t="s">
        <v>31</v>
      </c>
      <c r="E31" s="11"/>
    </row>
    <row r="32" customFormat="false" ht="42.75" hidden="false" customHeight="true" outlineLevel="0" collapsed="false">
      <c r="B32" s="11"/>
      <c r="C32" s="11"/>
      <c r="D32" s="11"/>
      <c r="E32" s="11"/>
    </row>
    <row r="33" customFormat="false" ht="42.75" hidden="false" customHeight="true" outlineLevel="0" collapsed="false">
      <c r="B33" s="11"/>
      <c r="C33" s="11"/>
      <c r="D33" s="11"/>
      <c r="E33" s="11"/>
    </row>
    <row r="34" customFormat="false" ht="9.75" hidden="false" customHeight="true" outlineLevel="0" collapsed="false"/>
    <row r="35" customFormat="false" ht="21.75" hidden="false" customHeight="true" outlineLevel="0" collapsed="false">
      <c r="B35" s="6" t="s">
        <v>32</v>
      </c>
      <c r="C35" s="6"/>
      <c r="D35" s="6"/>
      <c r="E35" s="6"/>
    </row>
    <row r="36" customFormat="false" ht="15.75" hidden="false" customHeight="true" outlineLevel="0" collapsed="false">
      <c r="B36" s="7" t="s">
        <v>33</v>
      </c>
      <c r="C36" s="7"/>
      <c r="D36" s="7"/>
      <c r="E36" s="7"/>
    </row>
    <row r="37" customFormat="false" ht="25.5" hidden="false" customHeight="true" outlineLevel="0" collapsed="false">
      <c r="B37" s="8" t="s">
        <v>34</v>
      </c>
      <c r="C37" s="11" t="s">
        <v>35</v>
      </c>
      <c r="D37" s="11"/>
      <c r="E37" s="11"/>
    </row>
    <row r="38" customFormat="false" ht="51" hidden="false" customHeight="true" outlineLevel="0" collapsed="false">
      <c r="B38" s="8" t="s">
        <v>36</v>
      </c>
      <c r="C38" s="11" t="s">
        <v>37</v>
      </c>
      <c r="D38" s="11"/>
      <c r="E38" s="11"/>
    </row>
    <row r="39" customFormat="false" ht="25.5" hidden="false" customHeight="true" outlineLevel="0" collapsed="false">
      <c r="B39" s="8" t="s">
        <v>38</v>
      </c>
      <c r="C39" s="11" t="s">
        <v>39</v>
      </c>
      <c r="D39" s="11"/>
      <c r="E39" s="11"/>
    </row>
    <row r="40" customFormat="false" ht="36" hidden="false" customHeight="true" outlineLevel="0" collapsed="false">
      <c r="B40" s="8" t="s">
        <v>36</v>
      </c>
      <c r="C40" s="11" t="s">
        <v>40</v>
      </c>
      <c r="D40" s="11"/>
      <c r="E40" s="11"/>
    </row>
    <row r="41" customFormat="false" ht="25.5" hidden="false" customHeight="true" outlineLevel="0" collapsed="false">
      <c r="B41" s="8" t="s">
        <v>41</v>
      </c>
      <c r="C41" s="11" t="s">
        <v>42</v>
      </c>
      <c r="D41" s="11"/>
      <c r="E41" s="11"/>
    </row>
    <row r="42" customFormat="false" ht="36" hidden="false" customHeight="true" outlineLevel="0" collapsed="false">
      <c r="B42" s="8" t="s">
        <v>36</v>
      </c>
      <c r="C42" s="11" t="s">
        <v>43</v>
      </c>
      <c r="D42" s="11"/>
      <c r="E42" s="11"/>
    </row>
    <row r="43" customFormat="false" ht="25.5" hidden="false" customHeight="true" outlineLevel="0" collapsed="false">
      <c r="B43" s="8" t="s">
        <v>44</v>
      </c>
      <c r="C43" s="11" t="s">
        <v>45</v>
      </c>
      <c r="D43" s="11"/>
      <c r="E43" s="11"/>
    </row>
    <row r="44" customFormat="false" ht="36" hidden="false" customHeight="true" outlineLevel="0" collapsed="false">
      <c r="B44" s="8" t="s">
        <v>36</v>
      </c>
      <c r="C44" s="11" t="s">
        <v>46</v>
      </c>
      <c r="D44" s="11"/>
      <c r="E44" s="11"/>
    </row>
    <row r="45" customFormat="false" ht="25.5" hidden="false" customHeight="true" outlineLevel="0" collapsed="false">
      <c r="B45" s="8" t="s">
        <v>47</v>
      </c>
      <c r="C45" s="11" t="s">
        <v>48</v>
      </c>
      <c r="D45" s="11"/>
      <c r="E45" s="11"/>
    </row>
    <row r="46" customFormat="false" ht="66" hidden="false" customHeight="true" outlineLevel="0" collapsed="false">
      <c r="B46" s="8" t="s">
        <v>36</v>
      </c>
      <c r="C46" s="11" t="s">
        <v>49</v>
      </c>
      <c r="D46" s="11"/>
      <c r="E46" s="11"/>
    </row>
    <row r="47" customFormat="false" ht="9.75" hidden="false" customHeight="true" outlineLevel="0" collapsed="false"/>
    <row r="48" customFormat="false" ht="21.75" hidden="false" customHeight="true" outlineLevel="0" collapsed="false">
      <c r="B48" s="12" t="s">
        <v>50</v>
      </c>
      <c r="C48" s="12"/>
      <c r="D48" s="12"/>
      <c r="E48" s="12"/>
    </row>
    <row r="49" customFormat="false" ht="51" hidden="false" customHeight="true" outlineLevel="0" collapsed="false">
      <c r="B49" s="11" t="s">
        <v>51</v>
      </c>
      <c r="C49" s="11"/>
      <c r="D49" s="11"/>
      <c r="E49" s="11"/>
    </row>
    <row r="50" customFormat="false" ht="51" hidden="false" customHeight="true" outlineLevel="0" collapsed="false">
      <c r="B50" s="13" t="s">
        <v>52</v>
      </c>
      <c r="C50" s="13"/>
      <c r="D50" s="13"/>
      <c r="E50" s="13"/>
    </row>
    <row r="51" customFormat="false" ht="7.5" hidden="false" customHeight="true" outlineLevel="0" collapsed="false"/>
    <row r="52" customFormat="false" ht="21.75" hidden="false" customHeight="true" outlineLevel="0" collapsed="false">
      <c r="B52" s="12" t="s">
        <v>53</v>
      </c>
      <c r="C52" s="12"/>
      <c r="D52" s="12"/>
      <c r="E52" s="12"/>
    </row>
    <row r="53" customFormat="false" ht="51" hidden="false" customHeight="true" outlineLevel="0" collapsed="false">
      <c r="B53" s="11" t="s">
        <v>54</v>
      </c>
      <c r="C53" s="11"/>
      <c r="D53" s="11"/>
      <c r="E53" s="11"/>
    </row>
    <row r="54" customFormat="false" ht="66" hidden="false" customHeight="true" outlineLevel="0" collapsed="false">
      <c r="B54" s="11" t="s">
        <v>55</v>
      </c>
      <c r="C54" s="11"/>
      <c r="D54" s="11"/>
      <c r="E54" s="11"/>
    </row>
  </sheetData>
  <mergeCells count="50">
    <mergeCell ref="B2:E2"/>
    <mergeCell ref="B4:E4"/>
    <mergeCell ref="B5:E5"/>
    <mergeCell ref="B6:E7"/>
    <mergeCell ref="B9:E9"/>
    <mergeCell ref="B10:E10"/>
    <mergeCell ref="B11:B13"/>
    <mergeCell ref="C11:E11"/>
    <mergeCell ref="C12:E12"/>
    <mergeCell ref="C13:E13"/>
    <mergeCell ref="B14:B16"/>
    <mergeCell ref="C14:E14"/>
    <mergeCell ref="C15:E15"/>
    <mergeCell ref="C16:E16"/>
    <mergeCell ref="B17:B19"/>
    <mergeCell ref="C17:E17"/>
    <mergeCell ref="C18:E18"/>
    <mergeCell ref="C19:E19"/>
    <mergeCell ref="B20:B22"/>
    <mergeCell ref="C20:E20"/>
    <mergeCell ref="C21:E21"/>
    <mergeCell ref="C22:E22"/>
    <mergeCell ref="B24:E24"/>
    <mergeCell ref="B25:E25"/>
    <mergeCell ref="B26:C26"/>
    <mergeCell ref="D26:E26"/>
    <mergeCell ref="B27:C29"/>
    <mergeCell ref="D27:E29"/>
    <mergeCell ref="B30:C30"/>
    <mergeCell ref="D30:E30"/>
    <mergeCell ref="B31:C33"/>
    <mergeCell ref="D31:E33"/>
    <mergeCell ref="B35:E35"/>
    <mergeCell ref="B36:E36"/>
    <mergeCell ref="C37:E37"/>
    <mergeCell ref="C38:E38"/>
    <mergeCell ref="C39:E39"/>
    <mergeCell ref="C40:E40"/>
    <mergeCell ref="C41:E41"/>
    <mergeCell ref="C42:E42"/>
    <mergeCell ref="C43:E43"/>
    <mergeCell ref="C44:E44"/>
    <mergeCell ref="C45:E45"/>
    <mergeCell ref="C46:E46"/>
    <mergeCell ref="B48:E48"/>
    <mergeCell ref="B49:E49"/>
    <mergeCell ref="B50:E50"/>
    <mergeCell ref="B52:E52"/>
    <mergeCell ref="B53:E53"/>
    <mergeCell ref="B54:E54"/>
  </mergeCells>
  <printOptions headings="false" gridLines="false" gridLinesSet="true" horizontalCentered="true" verticalCentered="false"/>
  <pageMargins left="0.4" right="0.4" top="1" bottom="1" header="0.5" footer="0.5"/>
  <pageSetup paperSize="1" scale="100" fitToWidth="1" fitToHeight="0" pageOrder="downThenOver" orientation="portrait" blackAndWhite="false" draft="false" cellComments="none" horizontalDpi="300" verticalDpi="300" copies="1"/>
  <headerFooter differentFirst="false" differentOddEven="false">
    <oddHeader>&amp;CSession 7 Activity   |   AI PM Cohort   |   Codebasics</oddHeader>
    <oddFooter>&amp;CSession 7 Activity   |   AI PM Cohort   |   Codebasics&amp;RPage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1"/>
    <col collapsed="false" customWidth="true" hidden="false" outlineLevel="0" max="3" min="2" style="0" width="6"/>
    <col collapsed="false" customWidth="true" hidden="false" outlineLevel="0" max="4" min="4" style="0" width="26"/>
    <col collapsed="false" customWidth="true" hidden="false" outlineLevel="0" max="5" min="5" style="0" width="28"/>
    <col collapsed="false" customWidth="true" hidden="false" outlineLevel="0" max="6" min="6" style="0" width="46"/>
    <col collapsed="false" customWidth="true" hidden="false" outlineLevel="0" max="7" min="7" style="0" width="14"/>
    <col collapsed="false" customWidth="true" hidden="false" outlineLevel="0" max="8" min="8" style="0" width="26"/>
    <col collapsed="false" customWidth="true" hidden="false" outlineLevel="0" max="9" min="9" style="0" width="9"/>
    <col collapsed="false" customWidth="true" hidden="false" outlineLevel="0" max="10" min="10" style="0" width="2"/>
  </cols>
  <sheetData>
    <row r="2" customFormat="false" ht="27.75" hidden="false" customHeight="true" outlineLevel="0" collapsed="false">
      <c r="B2" s="14" t="s">
        <v>56</v>
      </c>
      <c r="C2" s="14"/>
      <c r="D2" s="14"/>
      <c r="E2" s="14"/>
      <c r="F2" s="14"/>
      <c r="G2" s="14"/>
      <c r="H2" s="14"/>
      <c r="I2" s="14"/>
    </row>
    <row r="3" customFormat="false" ht="31.5" hidden="false" customHeight="true" outlineLevel="0" collapsed="false">
      <c r="B3" s="15" t="s">
        <v>57</v>
      </c>
      <c r="C3" s="15"/>
      <c r="D3" s="15"/>
      <c r="E3" s="15"/>
      <c r="F3" s="15"/>
      <c r="G3" s="15"/>
      <c r="H3" s="15"/>
      <c r="I3" s="15"/>
    </row>
    <row r="5" customFormat="false" ht="30" hidden="false" customHeight="true" outlineLevel="0" collapsed="false">
      <c r="B5" s="16" t="s">
        <v>58</v>
      </c>
      <c r="C5" s="16" t="s">
        <v>59</v>
      </c>
      <c r="D5" s="16" t="s">
        <v>60</v>
      </c>
      <c r="E5" s="16" t="s">
        <v>61</v>
      </c>
      <c r="F5" s="16" t="s">
        <v>62</v>
      </c>
      <c r="G5" s="16" t="s">
        <v>63</v>
      </c>
      <c r="H5" s="16" t="s">
        <v>64</v>
      </c>
      <c r="I5" s="16" t="s">
        <v>65</v>
      </c>
    </row>
    <row r="6" customFormat="false" ht="84" hidden="false" customHeight="true" outlineLevel="0" collapsed="false">
      <c r="B6" s="17" t="s">
        <v>66</v>
      </c>
      <c r="C6" s="18" t="s">
        <v>67</v>
      </c>
      <c r="D6" s="19" t="s">
        <v>68</v>
      </c>
      <c r="E6" s="19" t="s">
        <v>69</v>
      </c>
      <c r="F6" s="19" t="s">
        <v>70</v>
      </c>
      <c r="G6" s="19" t="s">
        <v>71</v>
      </c>
      <c r="H6" s="19" t="s">
        <v>72</v>
      </c>
      <c r="I6" s="19" t="s">
        <v>73</v>
      </c>
    </row>
    <row r="7" customFormat="false" ht="96.75" hidden="false" customHeight="true" outlineLevel="0" collapsed="false">
      <c r="B7" s="17" t="s">
        <v>74</v>
      </c>
      <c r="C7" s="18" t="s">
        <v>67</v>
      </c>
      <c r="D7" s="19" t="s">
        <v>75</v>
      </c>
      <c r="E7" s="19" t="s">
        <v>76</v>
      </c>
      <c r="F7" s="19" t="s">
        <v>77</v>
      </c>
      <c r="G7" s="19" t="s">
        <v>71</v>
      </c>
      <c r="H7" s="19" t="s">
        <v>78</v>
      </c>
      <c r="I7" s="19" t="s">
        <v>73</v>
      </c>
    </row>
    <row r="8" customFormat="false" ht="96.75" hidden="false" customHeight="true" outlineLevel="0" collapsed="false">
      <c r="B8" s="17" t="s">
        <v>79</v>
      </c>
      <c r="C8" s="18" t="s">
        <v>67</v>
      </c>
      <c r="D8" s="19" t="s">
        <v>80</v>
      </c>
      <c r="E8" s="19" t="s">
        <v>81</v>
      </c>
      <c r="F8" s="19" t="s">
        <v>82</v>
      </c>
      <c r="G8" s="19" t="s">
        <v>71</v>
      </c>
      <c r="H8" s="19" t="s">
        <v>83</v>
      </c>
      <c r="I8" s="19" t="s">
        <v>73</v>
      </c>
    </row>
    <row r="9" customFormat="false" ht="84" hidden="false" customHeight="true" outlineLevel="0" collapsed="false">
      <c r="B9" s="17" t="s">
        <v>84</v>
      </c>
      <c r="C9" s="20" t="s">
        <v>85</v>
      </c>
      <c r="D9" s="19" t="s">
        <v>86</v>
      </c>
      <c r="E9" s="19" t="s">
        <v>87</v>
      </c>
      <c r="F9" s="19" t="s">
        <v>88</v>
      </c>
      <c r="G9" s="19" t="s">
        <v>71</v>
      </c>
      <c r="H9" s="19" t="s">
        <v>89</v>
      </c>
      <c r="I9" s="19" t="s">
        <v>73</v>
      </c>
    </row>
    <row r="10" customFormat="false" ht="57.75" hidden="false" customHeight="true" outlineLevel="0" collapsed="false">
      <c r="B10" s="17" t="s">
        <v>90</v>
      </c>
      <c r="C10" s="20" t="s">
        <v>85</v>
      </c>
      <c r="D10" s="19" t="s">
        <v>91</v>
      </c>
      <c r="E10" s="19" t="s">
        <v>92</v>
      </c>
      <c r="F10" s="19" t="s">
        <v>93</v>
      </c>
      <c r="G10" s="19" t="s">
        <v>71</v>
      </c>
      <c r="H10" s="19" t="s">
        <v>94</v>
      </c>
      <c r="I10" s="19" t="s">
        <v>73</v>
      </c>
    </row>
    <row r="11" customFormat="false" ht="70.5" hidden="false" customHeight="true" outlineLevel="0" collapsed="false">
      <c r="B11" s="17" t="s">
        <v>95</v>
      </c>
      <c r="C11" s="20" t="s">
        <v>85</v>
      </c>
      <c r="D11" s="19" t="s">
        <v>96</v>
      </c>
      <c r="E11" s="19" t="s">
        <v>97</v>
      </c>
      <c r="F11" s="19" t="s">
        <v>98</v>
      </c>
      <c r="G11" s="19" t="s">
        <v>71</v>
      </c>
      <c r="H11" s="19" t="s">
        <v>99</v>
      </c>
      <c r="I11" s="19" t="s">
        <v>73</v>
      </c>
    </row>
    <row r="12" customFormat="false" ht="70.5" hidden="false" customHeight="true" outlineLevel="0" collapsed="false">
      <c r="B12" s="17" t="s">
        <v>100</v>
      </c>
      <c r="C12" s="21" t="s">
        <v>101</v>
      </c>
      <c r="D12" s="19" t="s">
        <v>102</v>
      </c>
      <c r="E12" s="19" t="s">
        <v>103</v>
      </c>
      <c r="F12" s="19" t="s">
        <v>104</v>
      </c>
      <c r="G12" s="19" t="s">
        <v>71</v>
      </c>
      <c r="H12" s="19" t="s">
        <v>105</v>
      </c>
      <c r="I12" s="19" t="s">
        <v>73</v>
      </c>
    </row>
    <row r="13" customFormat="false" ht="70.5" hidden="false" customHeight="true" outlineLevel="0" collapsed="false">
      <c r="B13" s="17" t="s">
        <v>106</v>
      </c>
      <c r="C13" s="21" t="s">
        <v>101</v>
      </c>
      <c r="D13" s="19" t="s">
        <v>107</v>
      </c>
      <c r="E13" s="19" t="s">
        <v>108</v>
      </c>
      <c r="F13" s="19" t="s">
        <v>109</v>
      </c>
      <c r="G13" s="19" t="s">
        <v>71</v>
      </c>
      <c r="H13" s="19" t="s">
        <v>110</v>
      </c>
      <c r="I13" s="19" t="s">
        <v>73</v>
      </c>
    </row>
    <row r="14" customFormat="false" ht="57.75" hidden="false" customHeight="true" outlineLevel="0" collapsed="false">
      <c r="B14" s="17" t="s">
        <v>111</v>
      </c>
      <c r="C14" s="22" t="s">
        <v>112</v>
      </c>
      <c r="D14" s="19" t="s">
        <v>113</v>
      </c>
      <c r="E14" s="19" t="s">
        <v>114</v>
      </c>
      <c r="F14" s="19" t="s">
        <v>115</v>
      </c>
      <c r="G14" s="19" t="s">
        <v>116</v>
      </c>
      <c r="H14" s="19" t="s">
        <v>117</v>
      </c>
      <c r="I14" s="19" t="s">
        <v>118</v>
      </c>
    </row>
  </sheetData>
  <mergeCells count="2">
    <mergeCell ref="B2:I2"/>
    <mergeCell ref="B3:I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1"/>
    <col collapsed="false" customWidth="true" hidden="false" outlineLevel="0" max="2" min="2" style="0" width="24"/>
    <col collapsed="false" customWidth="true" hidden="false" outlineLevel="0" max="3" min="3" style="0" width="52"/>
    <col collapsed="false" customWidth="true" hidden="false" outlineLevel="0" max="4" min="4" style="0" width="34"/>
    <col collapsed="false" customWidth="true" hidden="false" outlineLevel="0" max="6" min="5" style="0" width="30"/>
    <col collapsed="false" customWidth="true" hidden="false" outlineLevel="0" max="7" min="7" style="0" width="12"/>
    <col collapsed="false" customWidth="true" hidden="false" outlineLevel="0" max="8" min="8" style="0" width="2"/>
  </cols>
  <sheetData>
    <row r="2" customFormat="false" ht="27.75" hidden="false" customHeight="true" outlineLevel="0" collapsed="false">
      <c r="B2" s="14" t="s">
        <v>119</v>
      </c>
      <c r="C2" s="14"/>
      <c r="D2" s="14"/>
      <c r="E2" s="14"/>
      <c r="F2" s="14"/>
      <c r="G2" s="14"/>
    </row>
    <row r="3" customFormat="false" ht="27.75" hidden="false" customHeight="true" outlineLevel="0" collapsed="false">
      <c r="B3" s="15" t="s">
        <v>120</v>
      </c>
      <c r="C3" s="15"/>
      <c r="D3" s="15"/>
      <c r="E3" s="15"/>
      <c r="F3" s="15"/>
      <c r="G3" s="15"/>
    </row>
    <row r="5" customFormat="false" ht="30" hidden="false" customHeight="true" outlineLevel="0" collapsed="false">
      <c r="B5" s="16" t="s">
        <v>121</v>
      </c>
      <c r="C5" s="16" t="s">
        <v>122</v>
      </c>
      <c r="D5" s="16" t="s">
        <v>123</v>
      </c>
      <c r="E5" s="16" t="s">
        <v>124</v>
      </c>
      <c r="F5" s="16" t="s">
        <v>125</v>
      </c>
      <c r="G5" s="16" t="s">
        <v>65</v>
      </c>
    </row>
    <row r="6" customFormat="false" ht="45" hidden="false" customHeight="true" outlineLevel="0" collapsed="false">
      <c r="B6" s="17" t="s">
        <v>126</v>
      </c>
      <c r="C6" s="19" t="s">
        <v>127</v>
      </c>
      <c r="D6" s="19" t="s">
        <v>128</v>
      </c>
      <c r="E6" s="19" t="s">
        <v>129</v>
      </c>
      <c r="F6" s="19" t="s">
        <v>130</v>
      </c>
      <c r="G6" s="19" t="s">
        <v>131</v>
      </c>
    </row>
    <row r="7" customFormat="false" ht="57.75" hidden="false" customHeight="true" outlineLevel="0" collapsed="false">
      <c r="B7" s="17" t="s">
        <v>132</v>
      </c>
      <c r="C7" s="19" t="s">
        <v>133</v>
      </c>
      <c r="D7" s="19" t="s">
        <v>134</v>
      </c>
      <c r="E7" s="19" t="s">
        <v>135</v>
      </c>
      <c r="F7" s="19" t="s">
        <v>136</v>
      </c>
      <c r="G7" s="19" t="s">
        <v>131</v>
      </c>
    </row>
    <row r="8" customFormat="false" ht="45" hidden="false" customHeight="true" outlineLevel="0" collapsed="false">
      <c r="B8" s="17" t="s">
        <v>137</v>
      </c>
      <c r="C8" s="19" t="s">
        <v>138</v>
      </c>
      <c r="D8" s="19" t="s">
        <v>139</v>
      </c>
      <c r="E8" s="19" t="s">
        <v>140</v>
      </c>
      <c r="F8" s="19" t="s">
        <v>141</v>
      </c>
      <c r="G8" s="19" t="s">
        <v>73</v>
      </c>
    </row>
    <row r="9" customFormat="false" ht="45" hidden="false" customHeight="true" outlineLevel="0" collapsed="false">
      <c r="B9" s="17" t="s">
        <v>142</v>
      </c>
      <c r="C9" s="19" t="s">
        <v>143</v>
      </c>
      <c r="D9" s="19" t="s">
        <v>144</v>
      </c>
      <c r="E9" s="19" t="s">
        <v>145</v>
      </c>
      <c r="F9" s="19" t="s">
        <v>146</v>
      </c>
      <c r="G9" s="19" t="s">
        <v>73</v>
      </c>
    </row>
    <row r="10" customFormat="false" ht="57.75" hidden="false" customHeight="true" outlineLevel="0" collapsed="false">
      <c r="B10" s="17" t="s">
        <v>147</v>
      </c>
      <c r="C10" s="19" t="s">
        <v>148</v>
      </c>
      <c r="D10" s="19" t="s">
        <v>149</v>
      </c>
      <c r="E10" s="19" t="s">
        <v>150</v>
      </c>
      <c r="F10" s="19" t="s">
        <v>151</v>
      </c>
      <c r="G10" s="19" t="s">
        <v>73</v>
      </c>
    </row>
    <row r="11" customFormat="false" ht="45" hidden="false" customHeight="true" outlineLevel="0" collapsed="false">
      <c r="B11" s="17" t="s">
        <v>152</v>
      </c>
      <c r="C11" s="19" t="s">
        <v>153</v>
      </c>
      <c r="D11" s="19" t="s">
        <v>154</v>
      </c>
      <c r="E11" s="19" t="s">
        <v>155</v>
      </c>
      <c r="F11" s="19" t="s">
        <v>156</v>
      </c>
      <c r="G11" s="19" t="s">
        <v>73</v>
      </c>
    </row>
    <row r="12" customFormat="false" ht="45" hidden="false" customHeight="true" outlineLevel="0" collapsed="false">
      <c r="B12" s="17" t="s">
        <v>157</v>
      </c>
      <c r="C12" s="19" t="s">
        <v>158</v>
      </c>
      <c r="D12" s="19" t="s">
        <v>159</v>
      </c>
      <c r="E12" s="19" t="s">
        <v>160</v>
      </c>
      <c r="F12" s="19" t="s">
        <v>161</v>
      </c>
      <c r="G12" s="19" t="s">
        <v>118</v>
      </c>
    </row>
  </sheetData>
  <mergeCells count="2">
    <mergeCell ref="B2:G2"/>
    <mergeCell ref="B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1"/>
    <col collapsed="false" customWidth="true" hidden="false" outlineLevel="0" max="2" min="2" style="0" width="16"/>
    <col collapsed="false" customWidth="true" hidden="false" outlineLevel="0" max="3" min="3" style="0" width="40"/>
    <col collapsed="false" customWidth="true" hidden="false" outlineLevel="0" max="4" min="4" style="0" width="56"/>
    <col collapsed="false" customWidth="true" hidden="false" outlineLevel="0" max="5" min="5" style="0" width="30"/>
    <col collapsed="false" customWidth="true" hidden="false" outlineLevel="0" max="6" min="6" style="0" width="36"/>
    <col collapsed="false" customWidth="true" hidden="false" outlineLevel="0" max="7" min="7" style="0" width="2"/>
  </cols>
  <sheetData>
    <row r="2" customFormat="false" ht="27.75" hidden="false" customHeight="true" outlineLevel="0" collapsed="false">
      <c r="B2" s="14" t="s">
        <v>162</v>
      </c>
      <c r="C2" s="14"/>
      <c r="D2" s="14"/>
      <c r="E2" s="14"/>
      <c r="F2" s="14"/>
    </row>
    <row r="3" customFormat="false" ht="31.5" hidden="false" customHeight="true" outlineLevel="0" collapsed="false">
      <c r="B3" s="15" t="s">
        <v>163</v>
      </c>
      <c r="C3" s="15"/>
      <c r="D3" s="15"/>
      <c r="E3" s="15"/>
      <c r="F3" s="15"/>
    </row>
    <row r="5" customFormat="false" ht="30" hidden="false" customHeight="true" outlineLevel="0" collapsed="false">
      <c r="B5" s="16" t="s">
        <v>164</v>
      </c>
      <c r="C5" s="16" t="s">
        <v>165</v>
      </c>
      <c r="D5" s="16" t="s">
        <v>166</v>
      </c>
      <c r="E5" s="16" t="s">
        <v>167</v>
      </c>
      <c r="F5" s="16" t="s">
        <v>168</v>
      </c>
    </row>
    <row r="6" customFormat="false" ht="45" hidden="false" customHeight="true" outlineLevel="0" collapsed="false">
      <c r="B6" s="17" t="s">
        <v>169</v>
      </c>
      <c r="C6" s="19" t="s">
        <v>170</v>
      </c>
      <c r="D6" s="19" t="s">
        <v>171</v>
      </c>
      <c r="E6" s="19" t="s">
        <v>172</v>
      </c>
      <c r="F6" s="19" t="s">
        <v>173</v>
      </c>
    </row>
    <row r="7" customFormat="false" ht="45" hidden="false" customHeight="true" outlineLevel="0" collapsed="false">
      <c r="B7" s="17" t="s">
        <v>174</v>
      </c>
      <c r="C7" s="19" t="s">
        <v>175</v>
      </c>
      <c r="D7" s="19" t="s">
        <v>176</v>
      </c>
      <c r="E7" s="19" t="s">
        <v>177</v>
      </c>
      <c r="F7" s="19" t="s">
        <v>178</v>
      </c>
    </row>
    <row r="8" customFormat="false" ht="57.75" hidden="false" customHeight="true" outlineLevel="0" collapsed="false">
      <c r="B8" s="17" t="s">
        <v>179</v>
      </c>
      <c r="C8" s="19" t="s">
        <v>180</v>
      </c>
      <c r="D8" s="19" t="s">
        <v>181</v>
      </c>
      <c r="E8" s="19" t="s">
        <v>182</v>
      </c>
      <c r="F8" s="19" t="s">
        <v>183</v>
      </c>
    </row>
    <row r="9" customFormat="false" ht="57.75" hidden="false" customHeight="true" outlineLevel="0" collapsed="false">
      <c r="B9" s="17" t="s">
        <v>184</v>
      </c>
      <c r="C9" s="19" t="s">
        <v>185</v>
      </c>
      <c r="D9" s="19" t="s">
        <v>186</v>
      </c>
      <c r="E9" s="19" t="s">
        <v>187</v>
      </c>
      <c r="F9" s="19" t="s">
        <v>188</v>
      </c>
    </row>
    <row r="10" customFormat="false" ht="57.75" hidden="false" customHeight="true" outlineLevel="0" collapsed="false">
      <c r="B10" s="17" t="s">
        <v>189</v>
      </c>
      <c r="C10" s="19" t="s">
        <v>190</v>
      </c>
      <c r="D10" s="19" t="s">
        <v>191</v>
      </c>
      <c r="E10" s="19" t="s">
        <v>192</v>
      </c>
      <c r="F10" s="19" t="s">
        <v>193</v>
      </c>
    </row>
    <row r="11" customFormat="false" ht="57.75" hidden="false" customHeight="true" outlineLevel="0" collapsed="false">
      <c r="B11" s="17" t="s">
        <v>194</v>
      </c>
      <c r="C11" s="19" t="s">
        <v>195</v>
      </c>
      <c r="D11" s="19" t="s">
        <v>196</v>
      </c>
      <c r="E11" s="19" t="s">
        <v>197</v>
      </c>
      <c r="F11" s="19" t="s">
        <v>198</v>
      </c>
    </row>
    <row r="12" customFormat="false" ht="45" hidden="false" customHeight="true" outlineLevel="0" collapsed="false">
      <c r="B12" s="17" t="s">
        <v>199</v>
      </c>
      <c r="C12" s="19" t="s">
        <v>200</v>
      </c>
      <c r="D12" s="19" t="s">
        <v>201</v>
      </c>
      <c r="E12" s="19" t="s">
        <v>202</v>
      </c>
      <c r="F12" s="19" t="s">
        <v>203</v>
      </c>
    </row>
    <row r="13" customFormat="false" ht="45" hidden="false" customHeight="true" outlineLevel="0" collapsed="false">
      <c r="B13" s="17" t="s">
        <v>204</v>
      </c>
      <c r="C13" s="19" t="s">
        <v>205</v>
      </c>
      <c r="D13" s="19" t="s">
        <v>206</v>
      </c>
      <c r="E13" s="19" t="s">
        <v>207</v>
      </c>
      <c r="F13" s="19" t="s">
        <v>208</v>
      </c>
    </row>
    <row r="14" customFormat="false" ht="45" hidden="false" customHeight="true" outlineLevel="0" collapsed="false">
      <c r="B14" s="17" t="s">
        <v>209</v>
      </c>
      <c r="C14" s="19" t="s">
        <v>210</v>
      </c>
      <c r="D14" s="19" t="s">
        <v>211</v>
      </c>
      <c r="E14" s="19" t="s">
        <v>212</v>
      </c>
      <c r="F14" s="19" t="s">
        <v>213</v>
      </c>
    </row>
    <row r="15" customFormat="false" ht="45" hidden="false" customHeight="true" outlineLevel="0" collapsed="false">
      <c r="B15" s="17" t="s">
        <v>214</v>
      </c>
      <c r="C15" s="19" t="s">
        <v>215</v>
      </c>
      <c r="D15" s="19" t="s">
        <v>216</v>
      </c>
      <c r="E15" s="19" t="s">
        <v>217</v>
      </c>
      <c r="F15" s="19" t="s">
        <v>218</v>
      </c>
    </row>
    <row r="16" customFormat="false" ht="45" hidden="false" customHeight="true" outlineLevel="0" collapsed="false">
      <c r="B16" s="17" t="s">
        <v>219</v>
      </c>
      <c r="C16" s="19" t="s">
        <v>220</v>
      </c>
      <c r="D16" s="19" t="s">
        <v>221</v>
      </c>
      <c r="E16" s="19" t="s">
        <v>222</v>
      </c>
      <c r="F16" s="19" t="s">
        <v>223</v>
      </c>
    </row>
    <row r="17" customFormat="false" ht="45" hidden="false" customHeight="true" outlineLevel="0" collapsed="false">
      <c r="B17" s="17" t="s">
        <v>224</v>
      </c>
      <c r="C17" s="19" t="s">
        <v>225</v>
      </c>
      <c r="D17" s="19" t="s">
        <v>226</v>
      </c>
      <c r="E17" s="19" t="s">
        <v>227</v>
      </c>
      <c r="F17" s="19" t="s">
        <v>228</v>
      </c>
    </row>
    <row r="18" customFormat="false" ht="45" hidden="false" customHeight="true" outlineLevel="0" collapsed="false">
      <c r="B18" s="17" t="s">
        <v>229</v>
      </c>
      <c r="C18" s="19" t="s">
        <v>230</v>
      </c>
      <c r="D18" s="19" t="s">
        <v>231</v>
      </c>
      <c r="E18" s="19" t="s">
        <v>232</v>
      </c>
      <c r="F18" s="19" t="s">
        <v>233</v>
      </c>
    </row>
    <row r="19" customFormat="false" ht="31.5" hidden="false" customHeight="true" outlineLevel="0" collapsed="false">
      <c r="B19" s="17" t="s">
        <v>234</v>
      </c>
      <c r="C19" s="19" t="s">
        <v>235</v>
      </c>
      <c r="D19" s="19" t="s">
        <v>236</v>
      </c>
      <c r="E19" s="19" t="s">
        <v>237</v>
      </c>
      <c r="F19" s="19" t="s">
        <v>238</v>
      </c>
    </row>
    <row r="20" customFormat="false" ht="45" hidden="false" customHeight="true" outlineLevel="0" collapsed="false">
      <c r="B20" s="17" t="s">
        <v>234</v>
      </c>
      <c r="C20" s="19" t="s">
        <v>239</v>
      </c>
      <c r="D20" s="19" t="s">
        <v>236</v>
      </c>
      <c r="E20" s="19" t="s">
        <v>237</v>
      </c>
      <c r="F20" s="19" t="s">
        <v>240</v>
      </c>
    </row>
    <row r="21" customFormat="false" ht="45" hidden="false" customHeight="true" outlineLevel="0" collapsed="false">
      <c r="B21" s="17" t="s">
        <v>234</v>
      </c>
      <c r="C21" s="19" t="s">
        <v>241</v>
      </c>
      <c r="D21" s="19" t="s">
        <v>236</v>
      </c>
      <c r="E21" s="19" t="s">
        <v>237</v>
      </c>
      <c r="F21" s="19" t="s">
        <v>242</v>
      </c>
    </row>
  </sheetData>
  <mergeCells count="2">
    <mergeCell ref="B2:F2"/>
    <mergeCell ref="B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26"/>
    <col collapsed="false" customWidth="true" hidden="false" outlineLevel="0" max="3" min="3" style="1" width="62"/>
    <col collapsed="false" customWidth="true" hidden="false" outlineLevel="0" max="4" min="4" style="1" width="40"/>
    <col collapsed="false" customWidth="true" hidden="false" outlineLevel="0" max="5" min="5" style="1" width="34"/>
    <col collapsed="false" customWidth="true" hidden="false" outlineLevel="0" max="6" min="6" style="1" width="30"/>
    <col collapsed="false" customWidth="true" hidden="false" outlineLevel="0" max="7" min="7" style="1" width="2"/>
  </cols>
  <sheetData>
    <row r="2" customFormat="false" ht="27.75" hidden="false" customHeight="true" outlineLevel="0" collapsed="false">
      <c r="B2" s="14" t="s">
        <v>243</v>
      </c>
      <c r="C2" s="14"/>
      <c r="D2" s="14"/>
      <c r="E2" s="14"/>
      <c r="F2" s="14"/>
    </row>
    <row r="4" customFormat="false" ht="21.75" hidden="false" customHeight="true" outlineLevel="0" collapsed="false">
      <c r="B4" s="23" t="s">
        <v>244</v>
      </c>
      <c r="C4" s="23"/>
      <c r="D4" s="23"/>
      <c r="E4" s="23"/>
      <c r="F4" s="23"/>
    </row>
    <row r="5" customFormat="false" ht="27.75" hidden="false" customHeight="true" outlineLevel="0" collapsed="false">
      <c r="B5" s="15" t="s">
        <v>245</v>
      </c>
      <c r="C5" s="15"/>
      <c r="D5" s="15"/>
      <c r="E5" s="15"/>
      <c r="F5" s="15"/>
    </row>
    <row r="6" customFormat="false" ht="19.5" hidden="false" customHeight="true" outlineLevel="0" collapsed="false">
      <c r="B6" s="16" t="s">
        <v>246</v>
      </c>
      <c r="C6" s="16" t="s">
        <v>247</v>
      </c>
      <c r="D6" s="16" t="s">
        <v>248</v>
      </c>
      <c r="E6" s="16" t="s">
        <v>249</v>
      </c>
      <c r="F6" s="16" t="s">
        <v>250</v>
      </c>
    </row>
    <row r="7" customFormat="false" ht="109.5" hidden="false" customHeight="true" outlineLevel="0" collapsed="false">
      <c r="B7" s="17" t="s">
        <v>251</v>
      </c>
      <c r="C7" s="24" t="s">
        <v>252</v>
      </c>
      <c r="D7" s="24" t="s">
        <v>253</v>
      </c>
      <c r="E7" s="24" t="s">
        <v>254</v>
      </c>
      <c r="F7" s="24" t="s">
        <v>255</v>
      </c>
    </row>
    <row r="8" customFormat="false" ht="109.5" hidden="false" customHeight="true" outlineLevel="0" collapsed="false">
      <c r="B8" s="17" t="s">
        <v>256</v>
      </c>
      <c r="C8" s="24" t="s">
        <v>257</v>
      </c>
      <c r="D8" s="24" t="s">
        <v>258</v>
      </c>
      <c r="E8" s="24" t="s">
        <v>259</v>
      </c>
      <c r="F8" s="24" t="s">
        <v>260</v>
      </c>
    </row>
    <row r="9" customFormat="false" ht="96.75" hidden="false" customHeight="true" outlineLevel="0" collapsed="false">
      <c r="B9" s="17" t="s">
        <v>261</v>
      </c>
      <c r="C9" s="24" t="s">
        <v>262</v>
      </c>
      <c r="D9" s="24" t="s">
        <v>263</v>
      </c>
      <c r="E9" s="24" t="s">
        <v>264</v>
      </c>
      <c r="F9" s="24" t="s">
        <v>265</v>
      </c>
    </row>
    <row r="10" customFormat="false" ht="96.75" hidden="false" customHeight="true" outlineLevel="0" collapsed="false">
      <c r="B10" s="17" t="s">
        <v>266</v>
      </c>
      <c r="C10" s="24" t="s">
        <v>267</v>
      </c>
      <c r="D10" s="24" t="s">
        <v>268</v>
      </c>
      <c r="E10" s="24" t="s">
        <v>269</v>
      </c>
      <c r="F10" s="24" t="s">
        <v>270</v>
      </c>
    </row>
    <row r="11" customFormat="false" ht="84" hidden="false" customHeight="true" outlineLevel="0" collapsed="false">
      <c r="B11" s="17" t="s">
        <v>271</v>
      </c>
      <c r="C11" s="24" t="s">
        <v>272</v>
      </c>
      <c r="D11" s="24" t="s">
        <v>273</v>
      </c>
      <c r="E11" s="24" t="s">
        <v>274</v>
      </c>
      <c r="F11" s="24" t="s">
        <v>275</v>
      </c>
    </row>
    <row r="12" customFormat="false" ht="123" hidden="false" customHeight="true" outlineLevel="0" collapsed="false">
      <c r="B12" s="17" t="s">
        <v>276</v>
      </c>
      <c r="C12" s="24" t="s">
        <v>277</v>
      </c>
      <c r="D12" s="24" t="s">
        <v>278</v>
      </c>
      <c r="E12" s="24" t="s">
        <v>279</v>
      </c>
      <c r="F12" s="24" t="s">
        <v>280</v>
      </c>
    </row>
  </sheetData>
  <mergeCells count="3">
    <mergeCell ref="B2:F2"/>
    <mergeCell ref="B4:F4"/>
    <mergeCell ref="B5:F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24"/>
    <col collapsed="false" customWidth="true" hidden="false" outlineLevel="0" max="3" min="3" style="1" width="12"/>
    <col collapsed="false" customWidth="true" hidden="false" outlineLevel="0" max="4" min="4" style="1" width="16"/>
    <col collapsed="false" customWidth="true" hidden="false" outlineLevel="0" max="5" min="5" style="1" width="52"/>
    <col collapsed="false" customWidth="true" hidden="false" outlineLevel="0" max="6" min="6" style="1" width="40"/>
    <col collapsed="false" customWidth="true" hidden="false" outlineLevel="0" max="7" min="7" style="1" width="2"/>
  </cols>
  <sheetData>
    <row r="2" customFormat="false" ht="27.75" hidden="false" customHeight="true" outlineLevel="0" collapsed="false">
      <c r="B2" s="14" t="s">
        <v>281</v>
      </c>
      <c r="C2" s="14"/>
      <c r="D2" s="14"/>
      <c r="E2" s="14"/>
      <c r="F2" s="14"/>
    </row>
    <row r="3" customFormat="false" ht="42" hidden="false" customHeight="true" outlineLevel="0" collapsed="false">
      <c r="B3" s="25" t="s">
        <v>282</v>
      </c>
      <c r="C3" s="25"/>
      <c r="D3" s="25"/>
      <c r="E3" s="25"/>
      <c r="F3" s="25"/>
    </row>
    <row r="5" customFormat="false" ht="19.5" hidden="false" customHeight="true" outlineLevel="0" collapsed="false">
      <c r="B5" s="16" t="s">
        <v>283</v>
      </c>
      <c r="C5" s="16" t="s">
        <v>284</v>
      </c>
      <c r="D5" s="16" t="s">
        <v>285</v>
      </c>
      <c r="E5" s="16" t="s">
        <v>286</v>
      </c>
      <c r="F5" s="16" t="s">
        <v>167</v>
      </c>
    </row>
    <row r="6" customFormat="false" ht="45" hidden="false" customHeight="true" outlineLevel="0" collapsed="false">
      <c r="B6" s="17" t="s">
        <v>287</v>
      </c>
      <c r="C6" s="24" t="s">
        <v>288</v>
      </c>
      <c r="D6" s="26" t="n">
        <v>95000</v>
      </c>
      <c r="E6" s="24" t="s">
        <v>289</v>
      </c>
      <c r="F6" s="24" t="s">
        <v>290</v>
      </c>
    </row>
    <row r="7" customFormat="false" ht="45" hidden="false" customHeight="true" outlineLevel="0" collapsed="false">
      <c r="B7" s="17" t="s">
        <v>291</v>
      </c>
      <c r="C7" s="24" t="s">
        <v>292</v>
      </c>
      <c r="D7" s="26" t="n">
        <v>80000</v>
      </c>
      <c r="E7" s="24" t="s">
        <v>293</v>
      </c>
      <c r="F7" s="24" t="s">
        <v>294</v>
      </c>
    </row>
    <row r="8" customFormat="false" ht="31.5" hidden="false" customHeight="true" outlineLevel="0" collapsed="false">
      <c r="B8" s="17" t="s">
        <v>295</v>
      </c>
      <c r="C8" s="24" t="s">
        <v>296</v>
      </c>
      <c r="D8" s="26" t="n">
        <v>55000</v>
      </c>
      <c r="E8" s="24" t="s">
        <v>297</v>
      </c>
      <c r="F8" s="24" t="s">
        <v>298</v>
      </c>
    </row>
    <row r="9" customFormat="false" ht="31.5" hidden="false" customHeight="true" outlineLevel="0" collapsed="false">
      <c r="B9" s="17" t="s">
        <v>299</v>
      </c>
      <c r="C9" s="24" t="s">
        <v>300</v>
      </c>
      <c r="D9" s="26" t="n">
        <v>45000</v>
      </c>
      <c r="E9" s="24" t="s">
        <v>301</v>
      </c>
      <c r="F9" s="24" t="s">
        <v>302</v>
      </c>
    </row>
    <row r="10" customFormat="false" ht="31.5" hidden="false" customHeight="true" outlineLevel="0" collapsed="false">
      <c r="B10" s="17" t="s">
        <v>303</v>
      </c>
      <c r="C10" s="24" t="s">
        <v>304</v>
      </c>
      <c r="D10" s="26" t="n">
        <v>40000</v>
      </c>
      <c r="E10" s="24" t="s">
        <v>305</v>
      </c>
      <c r="F10" s="24" t="s">
        <v>306</v>
      </c>
    </row>
    <row r="11" customFormat="false" ht="45" hidden="false" customHeight="true" outlineLevel="0" collapsed="false">
      <c r="B11" s="17" t="s">
        <v>307</v>
      </c>
      <c r="C11" s="24" t="s">
        <v>308</v>
      </c>
      <c r="D11" s="26" t="n">
        <v>35000</v>
      </c>
      <c r="E11" s="24" t="s">
        <v>309</v>
      </c>
      <c r="F11" s="24" t="s">
        <v>310</v>
      </c>
    </row>
    <row r="12" customFormat="false" ht="31.5" hidden="false" customHeight="true" outlineLevel="0" collapsed="false">
      <c r="B12" s="17" t="s">
        <v>311</v>
      </c>
      <c r="C12" s="24" t="s">
        <v>312</v>
      </c>
      <c r="D12" s="26" t="n">
        <v>30000</v>
      </c>
      <c r="E12" s="24" t="s">
        <v>313</v>
      </c>
      <c r="F12" s="24" t="s">
        <v>314</v>
      </c>
    </row>
    <row r="13" customFormat="false" ht="31.5" hidden="false" customHeight="true" outlineLevel="0" collapsed="false">
      <c r="B13" s="17" t="s">
        <v>315</v>
      </c>
      <c r="C13" s="24" t="s">
        <v>316</v>
      </c>
      <c r="D13" s="26" t="n">
        <v>28000</v>
      </c>
      <c r="E13" s="24" t="s">
        <v>317</v>
      </c>
      <c r="F13" s="24" t="s">
        <v>318</v>
      </c>
    </row>
    <row r="14" customFormat="false" ht="45" hidden="false" customHeight="true" outlineLevel="0" collapsed="false">
      <c r="B14" s="17" t="s">
        <v>319</v>
      </c>
      <c r="C14" s="24" t="s">
        <v>320</v>
      </c>
      <c r="D14" s="26" t="n">
        <v>15000</v>
      </c>
      <c r="E14" s="24" t="s">
        <v>321</v>
      </c>
      <c r="F14" s="24" t="s">
        <v>322</v>
      </c>
    </row>
    <row r="15" customFormat="false" ht="19.5" hidden="false" customHeight="true" outlineLevel="0" collapsed="false">
      <c r="B15" s="27" t="s">
        <v>323</v>
      </c>
      <c r="C15" s="27" t="str">
        <f aca="false">COUNTA(B6:B14)&amp;" deals"</f>
        <v>9 deals</v>
      </c>
      <c r="D15" s="28" t="n">
        <f aca="false">SUM(D6:D14)</f>
        <v>423000</v>
      </c>
      <c r="E15" s="29"/>
      <c r="F15" s="29"/>
    </row>
    <row r="17" customFormat="false" ht="21.75" hidden="false" customHeight="true" outlineLevel="0" collapsed="false">
      <c r="B17" s="23" t="s">
        <v>324</v>
      </c>
      <c r="C17" s="23"/>
      <c r="D17" s="23"/>
      <c r="E17" s="23"/>
      <c r="F17" s="23"/>
    </row>
    <row r="18" customFormat="false" ht="19.5" hidden="false" customHeight="true" outlineLevel="0" collapsed="false">
      <c r="B18" s="16" t="s">
        <v>283</v>
      </c>
      <c r="C18" s="16" t="s">
        <v>284</v>
      </c>
      <c r="D18" s="16" t="s">
        <v>285</v>
      </c>
      <c r="E18" s="16" t="s">
        <v>286</v>
      </c>
      <c r="F18" s="16" t="s">
        <v>167</v>
      </c>
    </row>
    <row r="19" customFormat="false" ht="45" hidden="false" customHeight="true" outlineLevel="0" collapsed="false">
      <c r="B19" s="17" t="s">
        <v>325</v>
      </c>
      <c r="C19" s="24" t="s">
        <v>326</v>
      </c>
      <c r="D19" s="26"/>
      <c r="E19" s="24" t="s">
        <v>327</v>
      </c>
      <c r="F19" s="24" t="s">
        <v>328</v>
      </c>
    </row>
    <row r="20" customFormat="false" ht="31.5" hidden="false" customHeight="true" outlineLevel="0" collapsed="false">
      <c r="B20" s="17" t="s">
        <v>329</v>
      </c>
      <c r="C20" s="24" t="s">
        <v>330</v>
      </c>
      <c r="D20" s="26"/>
      <c r="E20" s="24" t="s">
        <v>331</v>
      </c>
      <c r="F20" s="24" t="s">
        <v>332</v>
      </c>
    </row>
    <row r="21" customFormat="false" ht="31.5" hidden="false" customHeight="true" outlineLevel="0" collapsed="false">
      <c r="B21" s="17" t="s">
        <v>333</v>
      </c>
      <c r="C21" s="24" t="s">
        <v>334</v>
      </c>
      <c r="D21" s="26"/>
      <c r="E21" s="24" t="s">
        <v>335</v>
      </c>
      <c r="F21" s="24" t="s">
        <v>172</v>
      </c>
    </row>
    <row r="22" customFormat="false" ht="31.5" hidden="false" customHeight="true" outlineLevel="0" collapsed="false">
      <c r="B22" s="17" t="s">
        <v>336</v>
      </c>
      <c r="C22" s="24" t="s">
        <v>334</v>
      </c>
      <c r="D22" s="26"/>
      <c r="E22" s="24" t="s">
        <v>337</v>
      </c>
      <c r="F22" s="24" t="s">
        <v>338</v>
      </c>
    </row>
    <row r="23" customFormat="false" ht="31.5" hidden="false" customHeight="true" outlineLevel="0" collapsed="false">
      <c r="B23" s="17" t="s">
        <v>339</v>
      </c>
      <c r="C23" s="24" t="s">
        <v>340</v>
      </c>
      <c r="D23" s="26"/>
      <c r="E23" s="24" t="s">
        <v>341</v>
      </c>
      <c r="F23" s="24" t="s">
        <v>342</v>
      </c>
    </row>
  </sheetData>
  <mergeCells count="3">
    <mergeCell ref="B2:F2"/>
    <mergeCell ref="B3:F3"/>
    <mergeCell ref="B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30"/>
    <col collapsed="false" customWidth="true" hidden="false" outlineLevel="0" max="3" min="3" style="1" width="18"/>
    <col collapsed="false" customWidth="true" hidden="false" outlineLevel="0" max="4" min="4" style="1" width="70"/>
    <col collapsed="false" customWidth="true" hidden="false" outlineLevel="0" max="5" min="5" style="1" width="2"/>
  </cols>
  <sheetData>
    <row r="2" customFormat="false" ht="27.75" hidden="false" customHeight="true" outlineLevel="0" collapsed="false">
      <c r="B2" s="14" t="s">
        <v>343</v>
      </c>
      <c r="C2" s="14"/>
      <c r="D2" s="14"/>
    </row>
    <row r="4" customFormat="false" ht="21.75" hidden="false" customHeight="true" outlineLevel="0" collapsed="false">
      <c r="B4" s="23" t="s">
        <v>344</v>
      </c>
      <c r="C4" s="23"/>
      <c r="D4" s="23"/>
    </row>
    <row r="5" customFormat="false" ht="19.5" hidden="false" customHeight="true" outlineLevel="0" collapsed="false">
      <c r="B5" s="16" t="s">
        <v>345</v>
      </c>
      <c r="C5" s="16" t="s">
        <v>346</v>
      </c>
      <c r="D5" s="16" t="s">
        <v>347</v>
      </c>
    </row>
    <row r="6" customFormat="false" ht="31.5" hidden="false" customHeight="true" outlineLevel="0" collapsed="false">
      <c r="B6" s="17" t="s">
        <v>348</v>
      </c>
      <c r="C6" s="24" t="s">
        <v>349</v>
      </c>
      <c r="D6" s="24" t="s">
        <v>350</v>
      </c>
    </row>
    <row r="7" customFormat="false" ht="31.5" hidden="false" customHeight="true" outlineLevel="0" collapsed="false">
      <c r="B7" s="17" t="s">
        <v>351</v>
      </c>
      <c r="C7" s="24" t="s">
        <v>352</v>
      </c>
      <c r="D7" s="24" t="s">
        <v>353</v>
      </c>
    </row>
    <row r="8" customFormat="false" ht="18.75" hidden="false" customHeight="true" outlineLevel="0" collapsed="false">
      <c r="B8" s="17" t="s">
        <v>354</v>
      </c>
      <c r="C8" s="24" t="s">
        <v>355</v>
      </c>
      <c r="D8" s="24" t="s">
        <v>356</v>
      </c>
    </row>
    <row r="9" customFormat="false" ht="31.5" hidden="false" customHeight="true" outlineLevel="0" collapsed="false">
      <c r="B9" s="17" t="s">
        <v>357</v>
      </c>
      <c r="C9" s="24" t="s">
        <v>358</v>
      </c>
      <c r="D9" s="24" t="s">
        <v>359</v>
      </c>
    </row>
    <row r="10" customFormat="false" ht="31.5" hidden="false" customHeight="true" outlineLevel="0" collapsed="false">
      <c r="B10" s="17" t="s">
        <v>360</v>
      </c>
      <c r="C10" s="24" t="s">
        <v>361</v>
      </c>
      <c r="D10" s="24" t="s">
        <v>362</v>
      </c>
    </row>
    <row r="11" customFormat="false" ht="31.5" hidden="false" customHeight="true" outlineLevel="0" collapsed="false">
      <c r="B11" s="17" t="s">
        <v>363</v>
      </c>
      <c r="C11" s="24" t="s">
        <v>364</v>
      </c>
      <c r="D11" s="24" t="s">
        <v>365</v>
      </c>
    </row>
    <row r="12" customFormat="false" ht="31.5" hidden="false" customHeight="true" outlineLevel="0" collapsed="false">
      <c r="B12" s="17" t="s">
        <v>366</v>
      </c>
      <c r="C12" s="24" t="s">
        <v>367</v>
      </c>
      <c r="D12" s="24" t="s">
        <v>368</v>
      </c>
    </row>
    <row r="14" customFormat="false" ht="21.75" hidden="false" customHeight="true" outlineLevel="0" collapsed="false">
      <c r="B14" s="23" t="s">
        <v>369</v>
      </c>
      <c r="C14" s="23"/>
      <c r="D14" s="23"/>
    </row>
    <row r="15" customFormat="false" ht="31.5" hidden="false" customHeight="true" outlineLevel="0" collapsed="false">
      <c r="B15" s="17" t="s">
        <v>370</v>
      </c>
      <c r="C15" s="24" t="s">
        <v>371</v>
      </c>
      <c r="D15" s="24"/>
    </row>
    <row r="16" customFormat="false" ht="31.5" hidden="false" customHeight="true" outlineLevel="0" collapsed="false">
      <c r="B16" s="17" t="s">
        <v>6</v>
      </c>
      <c r="C16" s="24" t="s">
        <v>372</v>
      </c>
      <c r="D16" s="24"/>
    </row>
    <row r="17" customFormat="false" ht="45" hidden="false" customHeight="true" outlineLevel="0" collapsed="false">
      <c r="B17" s="17" t="s">
        <v>373</v>
      </c>
      <c r="C17" s="24" t="s">
        <v>374</v>
      </c>
      <c r="D17" s="24"/>
    </row>
    <row r="18" customFormat="false" ht="31.5" hidden="false" customHeight="true" outlineLevel="0" collapsed="false">
      <c r="B18" s="17" t="s">
        <v>375</v>
      </c>
      <c r="C18" s="24" t="s">
        <v>376</v>
      </c>
      <c r="D18" s="24"/>
    </row>
    <row r="19" customFormat="false" ht="31.5" hidden="false" customHeight="true" outlineLevel="0" collapsed="false">
      <c r="B19" s="17" t="s">
        <v>377</v>
      </c>
      <c r="C19" s="24" t="s">
        <v>378</v>
      </c>
      <c r="D19" s="24"/>
    </row>
    <row r="21" customFormat="false" ht="21.75" hidden="false" customHeight="true" outlineLevel="0" collapsed="false">
      <c r="B21" s="23" t="s">
        <v>379</v>
      </c>
      <c r="C21" s="23"/>
      <c r="D21" s="23"/>
    </row>
    <row r="22" customFormat="false" ht="31.5" hidden="false" customHeight="true" outlineLevel="0" collapsed="false">
      <c r="B22" s="17" t="s">
        <v>380</v>
      </c>
      <c r="C22" s="24" t="s">
        <v>381</v>
      </c>
      <c r="D22" s="24"/>
    </row>
    <row r="23" customFormat="false" ht="31.5" hidden="false" customHeight="true" outlineLevel="0" collapsed="false">
      <c r="B23" s="17" t="s">
        <v>382</v>
      </c>
      <c r="C23" s="24" t="s">
        <v>383</v>
      </c>
      <c r="D23" s="24"/>
    </row>
  </sheetData>
  <mergeCells count="11">
    <mergeCell ref="B2:D2"/>
    <mergeCell ref="B4:D4"/>
    <mergeCell ref="B14:D14"/>
    <mergeCell ref="C15:D15"/>
    <mergeCell ref="C16:D16"/>
    <mergeCell ref="C17:D17"/>
    <mergeCell ref="C18:D18"/>
    <mergeCell ref="C19:D19"/>
    <mergeCell ref="B21:D21"/>
    <mergeCell ref="C22:D22"/>
    <mergeCell ref="C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2026-06-26T21:37:46Z</dcterms:created>
  <dc:creator>openpyxl</dc:creator>
  <dc:description/>
  <dc:language>en-US</dc:language>
  <cp:lastModifiedBy>TSG Quality Specialist</cp:lastModifiedBy>
  <dcterms:modified xsi:type="dcterms:W3CDTF">2026-10-11T13:56:03Z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